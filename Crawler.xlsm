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nbe\Dropbox\02. Projects\01. WebCralwer\"/>
    </mc:Choice>
  </mc:AlternateContent>
  <xr:revisionPtr revIDLastSave="0" documentId="13_ncr:1_{B416C1D4-C962-41C8-B324-12EC7260BB6C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Save" sheetId="1" r:id="rId1"/>
    <sheet name="List" sheetId="8" r:id="rId2"/>
    <sheet name="TradeAnalysis" sheetId="7" r:id="rId3"/>
    <sheet name="PDF" sheetId="2" r:id="rId4"/>
    <sheet name="Tickers" sheetId="4" r:id="rId5"/>
    <sheet name="BaseInfo" sheetId="5" r:id="rId6"/>
    <sheet name="BondTrdePrice" sheetId="6" r:id="rId7"/>
    <sheet name="Sheet3" sheetId="3" state="hidden" r:id="rId8"/>
  </sheets>
  <definedNames>
    <definedName name="_xlnm._FilterDatabase" localSheetId="5" hidden="1">BaseInfo!$G$3:$M$808</definedName>
    <definedName name="_xlnm._FilterDatabase" localSheetId="2" hidden="1">TradeAnalysis!$F$3:$N$3</definedName>
    <definedName name="BaseInfoConfig">Save!$B$13:$C$17</definedName>
    <definedName name="ListConfig">List!#REF!</definedName>
    <definedName name="NameMatchConfig">Save!$B$5:$C$8</definedName>
    <definedName name="RankConfig">List!$B$5:$C$8</definedName>
    <definedName name="TradeAnalysisConfig">TradeAnalysis!$B$4:$C$10</definedName>
    <definedName name="TradeConfig">Save!$B$22:$C$25</definedName>
    <definedName name="TradeHistoryConfig">Save!$B$22:$C$27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" l="1"/>
  <c r="C13" i="8"/>
  <c r="N2" i="7"/>
  <c r="C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Junbeom Lee</author>
    <author>tc={56714E98-8BF9-47D0-BD14-78D60102208D}</author>
    <author>tc={FDB9004A-E5DE-4E60-B116-CB1502E76E9F}</author>
  </authors>
  <commentLis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Junbeom Lee:</t>
        </r>
        <r>
          <rPr>
            <sz val="9"/>
            <color indexed="81"/>
            <rFont val="Tahoma"/>
            <family val="2"/>
          </rPr>
          <t xml:space="preserve">
must be string for python to undesrstand</t>
        </r>
      </text>
    </comment>
    <comment ref="C1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Junbeom Lee:</t>
        </r>
        <r>
          <rPr>
            <sz val="9"/>
            <color indexed="81"/>
            <rFont val="Tahoma"/>
            <family val="2"/>
          </rPr>
          <t xml:space="preserve">
must be string for python to undesrstand</t>
        </r>
      </text>
    </comment>
    <comment ref="B26" authorId="1" shapeId="0" xr:uid="{56714E98-8BF9-47D0-BD14-78D60102208D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[1:거래소 2:거래소 기타 5:KRX 7:코스닥 8:코스닥 기타] </t>
      </text>
    </comment>
    <comment ref="B27" authorId="2" shapeId="0" xr:uid="{FDB9004A-E5DE-4E60-B116-CB1502E76E9F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tc={A23B9347-FDA8-495C-BA5B-BC051C63BB3B}</author>
    <author>tc={07F26996-A0BF-45FB-BA42-3CFB83EA14A8}</author>
    <author>tc={711EF58D-2517-4C1A-AF87-2A2AF14CCCFD}</author>
    <author>tc={1EE22EB8-B6E9-482C-9A60-2DD5BA2A7196}</author>
    <author>tc={4D7AFA4D-C01B-4C73-A73B-26E64E58ED81}</author>
    <author>tc={81F8BD54-9103-459B-AA6A-1E1FCE8BD1A2}</author>
    <author>tc={6D6FF74A-096D-450A-BD5A-7464B0EB3ED0}</author>
  </authors>
  <commentList>
    <comment ref="B5" authorId="0" shapeId="0" xr:uid="{A23B9347-FDA8-495C-BA5B-BC051C63BB3B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</text>
    </comment>
    <comment ref="B6" authorId="1" shapeId="0" xr:uid="{07F26996-A0BF-45FB-BA42-3CFB83EA14A8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[1:거래소 2:거래소 기타 5:KRX 7:코스닥 8:코스닥 기타] </t>
      </text>
    </comment>
    <comment ref="B7" authorId="2" shapeId="0" xr:uid="{711EF58D-2517-4C1A-AF87-2A2AF14CCCFD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</text>
    </comment>
    <comment ref="B8" authorId="3" shapeId="0" xr:uid="{1EE22EB8-B6E9-482C-9A60-2DD5BA2A7196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[등락률(rate), 시가총액(cap, marketcap), 거래대금(trading_value, trading), 거래량(trading_vol, vol, volume), 가격(price, close)] 
</t>
      </text>
    </comment>
    <comment ref="B14" authorId="4" shapeId="0" xr:uid="{4D7AFA4D-C01B-4C73-A73B-26E64E58ED81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[1:거래소 2:거래소 기타 5:KRX 7:코스닥 8:코스닥 기타] </t>
      </text>
    </comment>
    <comment ref="B15" authorId="5" shapeId="0" xr:uid="{81F8BD54-9103-459B-AA6A-1E1FCE8BD1A2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</text>
    </comment>
    <comment ref="B16" authorId="6" shapeId="0" xr:uid="{6D6FF74A-096D-450A-BD5A-7464B0EB3ED0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[등락률(rate), 시가총액(cap, marketcap), 거래대금(trading_value, trading), 거래량(trading_vol, vol, volume), 가격(price, close)] 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Junbeom Lee</author>
  </authors>
  <commentList>
    <comment ref="C4" authorId="0" shapeId="0" xr:uid="{FC6CD685-2228-44F8-873E-CFE7AA7F56FE}">
      <text>
        <r>
          <rPr>
            <b/>
            <sz val="9"/>
            <color indexed="81"/>
            <rFont val="Tahoma"/>
            <family val="2"/>
          </rPr>
          <t>Junbeom Lee:</t>
        </r>
        <r>
          <rPr>
            <sz val="9"/>
            <color indexed="81"/>
            <rFont val="Tahoma"/>
            <family val="2"/>
          </rPr>
          <t xml:space="preserve">
must be string for python to undesrstand</t>
        </r>
      </text>
    </comment>
  </commentList>
</comments>
</file>

<file path=xl/sharedStrings.xml><?xml version="1.0" encoding="utf-8"?>
<sst xmlns="http://schemas.openxmlformats.org/spreadsheetml/2006/main" count="8229" uniqueCount="4141">
  <si>
    <t>(save all ticker name match for etfs from start date to end date)</t>
    <phoneticPr fontId="1" type="noConversion"/>
  </si>
  <si>
    <t>start date</t>
    <phoneticPr fontId="1" type="noConversion"/>
  </si>
  <si>
    <t>end date</t>
    <phoneticPr fontId="1" type="noConversion"/>
  </si>
  <si>
    <t>file name</t>
    <phoneticPr fontId="1" type="noConversion"/>
  </si>
  <si>
    <t>refresh</t>
    <phoneticPr fontId="1" type="noConversion"/>
  </si>
  <si>
    <t>ticker_name_match.json</t>
    <phoneticPr fontId="1" type="noConversion"/>
  </si>
  <si>
    <t>ticker_file_name</t>
    <phoneticPr fontId="1" type="noConversion"/>
  </si>
  <si>
    <t>prev_file</t>
    <phoneticPr fontId="1" type="noConversion"/>
  </si>
  <si>
    <t>waiting_time</t>
  </si>
  <si>
    <t>crawl_iter</t>
  </si>
  <si>
    <t>etf_base_info.csv</t>
    <phoneticPr fontId="1" type="noConversion"/>
  </si>
  <si>
    <t>(retrive etf data of ticker in ticker_file_name)</t>
    <phoneticPr fontId="1" type="noConversion"/>
  </si>
  <si>
    <t>ticker</t>
  </si>
  <si>
    <t>name</t>
  </si>
  <si>
    <t>ACE 필리핀MSCI(합성)</t>
  </si>
  <si>
    <t>ACE 24-12 회사채(AA-이상)액티브</t>
  </si>
  <si>
    <t>KOSEF 200</t>
  </si>
  <si>
    <t>KODEX 차이나H</t>
  </si>
  <si>
    <t>TIGER 200에너지화학레버리지</t>
  </si>
  <si>
    <t>ACE 국채선물3년인버스</t>
  </si>
  <si>
    <t>TIGER 미국나스닥100</t>
  </si>
  <si>
    <t>KODEX TRF5050</t>
  </si>
  <si>
    <t>TIGER 글로벌멀티에셋TIF액티브</t>
  </si>
  <si>
    <t>TIGER 24-10 회사채(A+이상)액티브</t>
  </si>
  <si>
    <t>ARIRANG 태양광&amp;ESS Fn</t>
  </si>
  <si>
    <t>KODEX 미국채울트라30년선물인버스(H)</t>
  </si>
  <si>
    <t>KODEX ESG종합채권(A-이상)액티브</t>
  </si>
  <si>
    <t>ARIRANG TDF2040액티브</t>
  </si>
  <si>
    <t>KODEX 미국S&amp;P500금융</t>
  </si>
  <si>
    <t>SOL KIS단기통안채</t>
  </si>
  <si>
    <t>KODEX 증권</t>
  </si>
  <si>
    <t>KODEX 코스피100</t>
  </si>
  <si>
    <t>KBSTAR 비메모리반도체액티브</t>
  </si>
  <si>
    <t>TIGER Fn반도체TOP10</t>
  </si>
  <si>
    <t>ARIRANG Apple채권혼합Fn</t>
  </si>
  <si>
    <t>TIGER 200 중공업</t>
  </si>
  <si>
    <t>TIGER 글로벌사이버보안INDXX</t>
  </si>
  <si>
    <t>KBSTAR 2차전지액티브</t>
  </si>
  <si>
    <t>SOL 미국30년국채액티브(H)</t>
  </si>
  <si>
    <t>SOL 차이나태양광CSI(합성)</t>
  </si>
  <si>
    <t>HANARO MSCI Korea TR</t>
  </si>
  <si>
    <t>TIGER 200커뮤니케이션서비스</t>
  </si>
  <si>
    <t>KODEX 골드선물(H)</t>
  </si>
  <si>
    <t>KOSEF 블루칩</t>
  </si>
  <si>
    <t>TIGER 경기방어</t>
  </si>
  <si>
    <t>ARIRANG KS모멘텀가중TR</t>
  </si>
  <si>
    <t>KODEX 필수소비재</t>
  </si>
  <si>
    <t>KOSEF Fn유전자혁신기술</t>
  </si>
  <si>
    <t>ACE 골드선물 레버리지(합성 H)</t>
  </si>
  <si>
    <t>KODEX 3대농산물선물(H)</t>
  </si>
  <si>
    <t>KOSEF 미국달러선물레버리지</t>
  </si>
  <si>
    <t>ARIRANG ESG성장주액티브</t>
  </si>
  <si>
    <t>ARIRANG 미국채30년액티브</t>
  </si>
  <si>
    <t>TIGER 코리아테크액티브</t>
  </si>
  <si>
    <t>ARIRANG 미국단기우량회사채</t>
  </si>
  <si>
    <t>TIGER AI코리아그로스액티브</t>
  </si>
  <si>
    <t>SOL 초단기채권액티브</t>
  </si>
  <si>
    <t>KOSEF 고배당</t>
  </si>
  <si>
    <t>KODEX 선진국MSCI World</t>
  </si>
  <si>
    <t>KTOP K200액티브</t>
  </si>
  <si>
    <t>KODEX 게임산업</t>
  </si>
  <si>
    <t>ACE 코스피</t>
  </si>
  <si>
    <t>SOL 200 Top10</t>
  </si>
  <si>
    <t>KODEX 테슬라밸류체인FactSet</t>
  </si>
  <si>
    <t>SOL 종합채권(AA-이상)액티브</t>
  </si>
  <si>
    <t>TIGER S&amp;P글로벌인프라(합성)</t>
  </si>
  <si>
    <t>KODEX iShares미국인플레이션국채액티브</t>
  </si>
  <si>
    <t>KBSTAR 머니마켓액티브</t>
  </si>
  <si>
    <t>ARIRANG 글로벌D램반도체iSelect</t>
  </si>
  <si>
    <t>KODEX 글로벌로봇(합성)</t>
  </si>
  <si>
    <t>KBSTAR 글로벌데이터센터리츠나스닥(합성)</t>
  </si>
  <si>
    <t>KODEX 미국S&amp;P500에너지(합성)</t>
  </si>
  <si>
    <t>KODEX 자동차</t>
  </si>
  <si>
    <t>KBSTAR 200건설</t>
  </si>
  <si>
    <t>ACE AI반도체포커스</t>
  </si>
  <si>
    <t>TIGER 글로벌클라우드컴퓨팅INDXX</t>
  </si>
  <si>
    <t>TIGER KRX기후변화솔루션</t>
  </si>
  <si>
    <t>HANARO Fn조선해운</t>
  </si>
  <si>
    <t>SOL KEDI메가테크액티브</t>
  </si>
  <si>
    <t>KODEX 구리선물(H)</t>
  </si>
  <si>
    <t>SOL 미국TOP5채권혼합40 Solactive</t>
  </si>
  <si>
    <t>HANARO KOFR금리액티브(합성)</t>
  </si>
  <si>
    <t>TIGER 은행고배당플러스TOP10</t>
  </si>
  <si>
    <t>SOL 미국S&amp;P500</t>
  </si>
  <si>
    <t>ARIRANG 고배당저변동50</t>
  </si>
  <si>
    <t>ARIRANG S&amp;P글로벌인프라</t>
  </si>
  <si>
    <t>KODEX 미국나스닥100레버리지(합성 H)</t>
  </si>
  <si>
    <t>SOL 2차전지소부장Fn</t>
  </si>
  <si>
    <t>ACE 스마트모멘텀</t>
  </si>
  <si>
    <t>HANARO Fn골프테마</t>
  </si>
  <si>
    <t>KODEX 기계장비</t>
  </si>
  <si>
    <t>에셋플러스 글로벌다이나믹시니어액티브</t>
  </si>
  <si>
    <t>에셋플러스 글로벌영에이지액티브</t>
  </si>
  <si>
    <t>KODEX 미국달러선물인버스</t>
  </si>
  <si>
    <t>TIGER 200 철강소재</t>
  </si>
  <si>
    <t>KODEX 차이나A50</t>
  </si>
  <si>
    <t>KODEX 미국달러선물</t>
  </si>
  <si>
    <t>TIGER 글로벌BBIG액티브</t>
  </si>
  <si>
    <t>ARIRANG 200동일가중</t>
  </si>
  <si>
    <t>TIGER 코스피대형주</t>
  </si>
  <si>
    <t>KODEX 단기채권</t>
  </si>
  <si>
    <t>ACE 인도네시아MSCI(합성)</t>
  </si>
  <si>
    <t>KBSTAR 5대그룹주</t>
  </si>
  <si>
    <t>KOSEF 차이나A50커넥트인버스MSCI(합성 H)</t>
  </si>
  <si>
    <t>HANARO 코스닥150선물레버리지</t>
  </si>
  <si>
    <t>TIGER 미국나스닥100TR(H)</t>
  </si>
  <si>
    <t>KBSTAR 미국고정배당우선증권ICE TR</t>
  </si>
  <si>
    <t>KOSEF 200선물인버스2X</t>
  </si>
  <si>
    <t>TIGER 200선물인버스2X</t>
  </si>
  <si>
    <t>HANARO 200 TOP10</t>
  </si>
  <si>
    <t>KBSTAR KP달러채권액티브</t>
  </si>
  <si>
    <t>KODEX IT</t>
  </si>
  <si>
    <t>TIGER 차이나CSI300</t>
  </si>
  <si>
    <t>KODEX 미국S&amp;P500경기소비재</t>
  </si>
  <si>
    <t>ARIRANG TDF2050액티브</t>
  </si>
  <si>
    <t>KODEX 운송</t>
  </si>
  <si>
    <t>KODEX 은선물(H)</t>
  </si>
  <si>
    <t>ARIRANG 미국달러SOFR금리액티브(합성)</t>
  </si>
  <si>
    <t>KBSTAR KRX300미국달러선물혼합</t>
  </si>
  <si>
    <t>ARIRANG 글로벌인공지능산업MV</t>
  </si>
  <si>
    <t>KODEX K-신재생에너지액티브</t>
  </si>
  <si>
    <t>KODEX 미국종합채권SRI액티브(H)</t>
  </si>
  <si>
    <t>KBSTAR Fn플랫폼테마</t>
  </si>
  <si>
    <t>SOL 미국S&amp;P500ESG</t>
  </si>
  <si>
    <t>ACE 글로벌브랜드TOP10블룸버그</t>
  </si>
  <si>
    <t>ACE 중국본토CSI300</t>
  </si>
  <si>
    <t>KODEX 미국채울트라30년선물(H)</t>
  </si>
  <si>
    <t>TIGER Fn신재생에너지</t>
  </si>
  <si>
    <t>TIGER 코스닥글로벌</t>
  </si>
  <si>
    <t>KBSTAR 글로벌4차산업IT(합성 H)</t>
  </si>
  <si>
    <t>KBSTAR 중국MSCI China(H)</t>
  </si>
  <si>
    <t>ARIRANG 우주항공&amp;UAM iSelect</t>
  </si>
  <si>
    <t>ACE KRX금현물</t>
  </si>
  <si>
    <t>TIGER AI반도체핵심공정</t>
  </si>
  <si>
    <t>HANARO Fn친환경에너지</t>
  </si>
  <si>
    <t>KODEX 차이나CSI300</t>
  </si>
  <si>
    <t>ARIRANG 미국S&amp;P500</t>
  </si>
  <si>
    <t>TIGER 글로벌리튬&amp;2차전지SOLACTIVE(합성)</t>
  </si>
  <si>
    <t>ACE 스마트퀄리티</t>
  </si>
  <si>
    <t>KOSEF 국고채3년</t>
  </si>
  <si>
    <t>TIGER 여행레저</t>
  </si>
  <si>
    <t>TIGER MSCI KOREA ESG유니버설</t>
  </si>
  <si>
    <t>KBSTAR 글로벌클린에너지S&amp;P</t>
  </si>
  <si>
    <t>SOL 24-06 국고채액티브</t>
  </si>
  <si>
    <t>TIGER 2차전지TOP10</t>
  </si>
  <si>
    <t>ACE 글로벌인컴TOP10 SOLACTIVE</t>
  </si>
  <si>
    <t>KOSEF 코스닥150선물인버스</t>
  </si>
  <si>
    <t>KBSTAR KRX기후변화솔루션</t>
  </si>
  <si>
    <t>ACE 삼성그룹동일가중</t>
  </si>
  <si>
    <t>ACE 스마트밸류</t>
  </si>
  <si>
    <t>KODEX 한국대만IT프리미어</t>
  </si>
  <si>
    <t>KBSTAR 국채선물5년추종인버스</t>
  </si>
  <si>
    <t>TIGER 배당성장</t>
  </si>
  <si>
    <t>KODEX 미국채10년선물</t>
  </si>
  <si>
    <t>HANARO 단기채권액티브</t>
  </si>
  <si>
    <t>TIGER BBIG</t>
  </si>
  <si>
    <t>KODEX 미국클린에너지나스닥</t>
  </si>
  <si>
    <t>ACE 엔비디아채권혼합블룸버그</t>
  </si>
  <si>
    <t>TIGER KTOP30</t>
  </si>
  <si>
    <t>TIGER 미국나스닥넥스트100</t>
  </si>
  <si>
    <t>KBSTAR 차이나H선물인버스(H)</t>
  </si>
  <si>
    <t>KOSEF 국고채10년</t>
  </si>
  <si>
    <t>파워 고배당저변동성</t>
  </si>
  <si>
    <t>HANARO Fn5G산업</t>
  </si>
  <si>
    <t>KBSTAR 200IT</t>
  </si>
  <si>
    <t>TIGER 은행</t>
  </si>
  <si>
    <t>KODEX MSCI EM선물(H)</t>
  </si>
  <si>
    <t>KBSTAR TDF2050액티브</t>
  </si>
  <si>
    <t>KOSEF 미국방어배당성장나스닥</t>
  </si>
  <si>
    <t>TIGER 삼성그룹펀더멘털</t>
  </si>
  <si>
    <t>KODEX 국채선물10년</t>
  </si>
  <si>
    <t>마이다스 KoreaStock액티브</t>
  </si>
  <si>
    <t>KODEX MSCI밸류</t>
  </si>
  <si>
    <t>마이티 다이나믹퀀트액티브</t>
  </si>
  <si>
    <t>TIGER 미국나스닥100TR채권혼합Fn</t>
  </si>
  <si>
    <t>ARIRANG 종합채권(AA-이상)액티브</t>
  </si>
  <si>
    <t>TIGER 200 경기소비재</t>
  </si>
  <si>
    <t>KBSTAR 200선물레버리지</t>
  </si>
  <si>
    <t>HK 하이볼액티브</t>
  </si>
  <si>
    <t>KODEX 미국S&amp;P500통신서비스</t>
  </si>
  <si>
    <t>ACE 단기통안채</t>
  </si>
  <si>
    <t>KBSTAR iSelect메타버스</t>
  </si>
  <si>
    <t>KBSTAR 미국장기국채선물레버리지(합성 H)</t>
  </si>
  <si>
    <t>TIGER 글로벌AI액티브</t>
  </si>
  <si>
    <t>히어로즈 24-09 회사채(AA-이상)액티브</t>
  </si>
  <si>
    <t>KBSTAR 국채선물5년추종</t>
  </si>
  <si>
    <t>TIMEFOLIO K컬처액티브</t>
  </si>
  <si>
    <t>KBSTAR 글로벌주식분산액티브</t>
  </si>
  <si>
    <t>ACE 23-12 회사채(AA-이상)액티브</t>
  </si>
  <si>
    <t>ARIRANG 심천차이넥스트(합성)</t>
  </si>
  <si>
    <t>KOSEF Fn중소형</t>
  </si>
  <si>
    <t>KODEX 200 중소형</t>
  </si>
  <si>
    <t>KODEX 코스닥150롱코스피200숏선물</t>
  </si>
  <si>
    <t>HANARO 32-10 국고채액티브</t>
  </si>
  <si>
    <t>히어로즈 미국성장기업30액티브</t>
  </si>
  <si>
    <t>KODEX 아시아달러채권SRI플러스액티브</t>
  </si>
  <si>
    <t>KODEX 미국배당프리미엄액티브</t>
  </si>
  <si>
    <t>KODEX TDF2050액티브</t>
  </si>
  <si>
    <t>ARIRANG 미국대체투자Top10MV</t>
  </si>
  <si>
    <t>TIGER 일본엔선물</t>
  </si>
  <si>
    <t>TIGER 코스닥150</t>
  </si>
  <si>
    <t>TIGER 단기선진하이일드(합성 H)</t>
  </si>
  <si>
    <t>SOL 200TR</t>
  </si>
  <si>
    <t>KODEX 다우존스미국리츠(H)</t>
  </si>
  <si>
    <t>KODEX 차이나항셍테크</t>
  </si>
  <si>
    <t>WOORI 대한민국국고채액티브</t>
  </si>
  <si>
    <t>ACE 200TR</t>
  </si>
  <si>
    <t>KODEX 코스피TR</t>
  </si>
  <si>
    <t>KBSTAR 주식혼합</t>
  </si>
  <si>
    <t>ARIRANG 200</t>
  </si>
  <si>
    <t>TIGER 코스피중형주</t>
  </si>
  <si>
    <t>KODEX 미국나스닥100선물(H)</t>
  </si>
  <si>
    <t>KODEX 미국S&amp;P500테크놀로지</t>
  </si>
  <si>
    <t>TIGER 코스닥150 레버리지</t>
  </si>
  <si>
    <t>TIGER 글로벌AI&amp;로보틱스 INDXX</t>
  </si>
  <si>
    <t>ACE 아시아TOP50S&amp;P</t>
  </si>
  <si>
    <t>KBSTAR 2차전지TOP10인버스(합성)</t>
  </si>
  <si>
    <t>ARIRANG 단기채권액티브</t>
  </si>
  <si>
    <t>KBSTAR 200</t>
  </si>
  <si>
    <t>ARIRANG 글로벌희토류전략자원기업MV</t>
  </si>
  <si>
    <t>KOSEF 미국나스닥100(H)</t>
  </si>
  <si>
    <t>KODEX TSE일본리츠(H)</t>
  </si>
  <si>
    <t>히어로즈 리츠이지스액티브</t>
  </si>
  <si>
    <t>TIGER 단기통안채</t>
  </si>
  <si>
    <t>TIGER 코스닥150바이오테크</t>
  </si>
  <si>
    <t>ARIRANG ESG가치주액티브</t>
  </si>
  <si>
    <t>TIGER 글로벌자원생산기업(합성 H)</t>
  </si>
  <si>
    <t>ARIRANG 국채선물10년</t>
  </si>
  <si>
    <t>ACE ESG액티브</t>
  </si>
  <si>
    <t>KBSTAR 중기우량회사채</t>
  </si>
  <si>
    <t>TIGER 테슬라채권혼합Fn</t>
  </si>
  <si>
    <t>KBSTAR V&amp;S셀렉트밸류채권혼합</t>
  </si>
  <si>
    <t>KBSTAR V&amp;S셀렉트밸류</t>
  </si>
  <si>
    <t>KODEX Fn Top10동일가중</t>
  </si>
  <si>
    <t>TIGER 미국나스닥100레버리지(합성)</t>
  </si>
  <si>
    <t>TIGER 로우볼</t>
  </si>
  <si>
    <t>HANARO 200선물인버스</t>
  </si>
  <si>
    <t>HANARO 200TR</t>
  </si>
  <si>
    <t>ARIRANG K-유니콘투자기업액티브</t>
  </si>
  <si>
    <t>TIGER 한중반도체(합성)</t>
  </si>
  <si>
    <t>KBSTAR 국채30년레버리지KAP(합성)</t>
  </si>
  <si>
    <t>KODEX 코스닥150레버리지</t>
  </si>
  <si>
    <t>TIGER 미국배당+3%프리미엄다우존스</t>
  </si>
  <si>
    <t>KODEX 헬스케어</t>
  </si>
  <si>
    <t>대신343 K200</t>
  </si>
  <si>
    <t>KBSTAR 미국반도체NYSE</t>
  </si>
  <si>
    <t>ACE 일본TOPIX인버스(합성 H)</t>
  </si>
  <si>
    <t>UNICORN 생성형AI강소기업액티브</t>
  </si>
  <si>
    <t>ACE 중국본토CSI300레버리지(합성)</t>
  </si>
  <si>
    <t>TIMEFOLIO Kstock액티브</t>
  </si>
  <si>
    <t>TIMEFOLIO Korea플러스배당액티브</t>
  </si>
  <si>
    <t>KODEX 은행</t>
  </si>
  <si>
    <t>ARIRANG 신흥국MSCI(합성 H)</t>
  </si>
  <si>
    <t>ARIRANG 미국다우존스고배당주(합성 H)</t>
  </si>
  <si>
    <t>KODEX 최소변동성</t>
  </si>
  <si>
    <t>TIGER 200 에너지화학</t>
  </si>
  <si>
    <t>TIGER BBIG레버리지</t>
  </si>
  <si>
    <t>ARIRANG 코스닥150</t>
  </si>
  <si>
    <t>KBSTAR 고배당</t>
  </si>
  <si>
    <t>KBSTAR 200철강소재</t>
  </si>
  <si>
    <t>KBSTAR 200선물인버스</t>
  </si>
  <si>
    <t>KODEX 멀티에셋하이인컴(H)</t>
  </si>
  <si>
    <t>TIGER 미국달러단기채권액티브</t>
  </si>
  <si>
    <t>KTOP 단기금융채액티브</t>
  </si>
  <si>
    <t>ACE 코스닥150</t>
  </si>
  <si>
    <t>KBSTAR 코스피</t>
  </si>
  <si>
    <t>TIGER 글로벌4차산업혁신기술(합성 H)</t>
  </si>
  <si>
    <t>TIGER 의료기기</t>
  </si>
  <si>
    <t>KODEX Fn웹툰&amp;드라마</t>
  </si>
  <si>
    <t>KODEX 200ESG</t>
  </si>
  <si>
    <t>SOL 조선TOP3플러스</t>
  </si>
  <si>
    <t>SOL 한국형글로벌플랫폼&amp;메타버스액티브</t>
  </si>
  <si>
    <t>KBSTAR 200생활소비재</t>
  </si>
  <si>
    <t>TIGER 단기채권액티브</t>
  </si>
  <si>
    <t>UNICORN R&amp;D 액티브</t>
  </si>
  <si>
    <t>TIGER 글로벌혁신블루칩TOP10</t>
  </si>
  <si>
    <t>HANARO 글로벌신재생에너지MSCI(합성)</t>
  </si>
  <si>
    <t>TIGER 200동일가중</t>
  </si>
  <si>
    <t>ACE 미국달러SOFR금리(합성)</t>
  </si>
  <si>
    <t>KBSTAR 미국달러선물인버스</t>
  </si>
  <si>
    <t>KBSTAR KRX300</t>
  </si>
  <si>
    <t>TIGER 미국필라델피아반도체나스닥</t>
  </si>
  <si>
    <t>TIGER 글로벌자율주행&amp;전기차SOLACTIVE</t>
  </si>
  <si>
    <t>ACE 미국나스닥100</t>
  </si>
  <si>
    <t>SOL 미국배당다우존스(H)</t>
  </si>
  <si>
    <t>KBSTAR TDF2040액티브</t>
  </si>
  <si>
    <t>TIGER 레버리지</t>
  </si>
  <si>
    <t>KBSTAR 글로벌메타버스Moorgate</t>
  </si>
  <si>
    <t>TIGER 스페이스테크iSelect</t>
  </si>
  <si>
    <t>ARIRANG 일본반도체소부장Solactive</t>
  </si>
  <si>
    <t>KODEX 에너지화학</t>
  </si>
  <si>
    <t>ARIRANG 코스피TR</t>
  </si>
  <si>
    <t>ARIRANG KS퀄리티가중TR</t>
  </si>
  <si>
    <t>ACE 국고채10년</t>
  </si>
  <si>
    <t>KODEX 미국스마트모빌리티S&amp;P</t>
  </si>
  <si>
    <t>KOSEF 미국달러선물인버스2X</t>
  </si>
  <si>
    <t>TIGER 헬스케어</t>
  </si>
  <si>
    <t>KODEX TDF2040액티브</t>
  </si>
  <si>
    <t>KODEX 유럽명품TOP10 STOXX</t>
  </si>
  <si>
    <t>ARIRANG TDF2060액티브</t>
  </si>
  <si>
    <t>TIMEFOLIO K바이오액티브</t>
  </si>
  <si>
    <t>ACE 미국빅테크TOP7 Plus인버스(합성)</t>
  </si>
  <si>
    <t>KODEX 모멘텀Plus</t>
  </si>
  <si>
    <t>TIGER 인도니프티50</t>
  </si>
  <si>
    <t>KODEX 코스피</t>
  </si>
  <si>
    <t>HANARO 미국애그테크</t>
  </si>
  <si>
    <t>TIGER 미국테크TOP10채권혼합</t>
  </si>
  <si>
    <t>TIGER 골드선물(H)</t>
  </si>
  <si>
    <t>TIGER TOP10</t>
  </si>
  <si>
    <t>TIGER MSCI Korea TR</t>
  </si>
  <si>
    <t>KODEX 바이오</t>
  </si>
  <si>
    <t>KBSTAR 200에너지화학</t>
  </si>
  <si>
    <t>HANARO 글로벌백신치료제MSCI</t>
  </si>
  <si>
    <t>KBSTAR 미국장기국채선물인버스2X(합성 H)</t>
  </si>
  <si>
    <t>TIGER 차이나전기차레버리지(합성)</t>
  </si>
  <si>
    <t>KOSEF 인도Nifty50(합성)</t>
  </si>
  <si>
    <t>KODEX 탄소효율그린뉴딜</t>
  </si>
  <si>
    <t>KBSTAR 미국S&amp;P500</t>
  </si>
  <si>
    <t>KODEX 삼성그룹</t>
  </si>
  <si>
    <t>KODEX 미국S&amp;P500산업재(합성)</t>
  </si>
  <si>
    <t>KODEX 종합채권(AA-이상)액티브</t>
  </si>
  <si>
    <t>HANARO 고배당</t>
  </si>
  <si>
    <t>BNK 2차전지양극재</t>
  </si>
  <si>
    <t>KBSTAR 내수주플러스</t>
  </si>
  <si>
    <t>ARIRANG KS로우사이즈가중TR</t>
  </si>
  <si>
    <t>TIGER 일본반도체FACTSET</t>
  </si>
  <si>
    <t>HANARO 미국메타버스iSelect</t>
  </si>
  <si>
    <t>HANARO 원자력iSelect</t>
  </si>
  <si>
    <t>TIGER 차이나바이오테크SOLACTIVE</t>
  </si>
  <si>
    <t>KBSTAR 코스닥150선물인버스</t>
  </si>
  <si>
    <t>KBSTAR 200금융</t>
  </si>
  <si>
    <t>SOL 24-12 회사채(AA-이상)액티브</t>
  </si>
  <si>
    <t>SOL 자동차소부장Fn</t>
  </si>
  <si>
    <t>HANARO KRX기후변화솔루션</t>
  </si>
  <si>
    <t>ARIRANG KS로우볼가중TR</t>
  </si>
  <si>
    <t>KODEX 한중전기차(합성)</t>
  </si>
  <si>
    <t>KODEX 인버스</t>
  </si>
  <si>
    <t>ACE 밸류대형</t>
  </si>
  <si>
    <t>TIGER 유로스탁스배당30</t>
  </si>
  <si>
    <t>ACE 베트남VN30선물블룸버그레버리지(H)</t>
  </si>
  <si>
    <t>마이티 코스피100</t>
  </si>
  <si>
    <t>WOORI 단기국공채액티브</t>
  </si>
  <si>
    <t>KOSEF KRX100</t>
  </si>
  <si>
    <t>KODEX K-미래차액티브</t>
  </si>
  <si>
    <t>KODEX 미국S&amp;P바이오(합성)</t>
  </si>
  <si>
    <t>ACE 200</t>
  </si>
  <si>
    <t>TIGER 200IT레버리지</t>
  </si>
  <si>
    <t>KBSTAR 팔라듐선물인버스(H)</t>
  </si>
  <si>
    <t>KODEX WTI원유선물인버스(H)</t>
  </si>
  <si>
    <t>ACE 미국달러단기채권액티브</t>
  </si>
  <si>
    <t>TIGER 미국투자등급회사채액티브(H)</t>
  </si>
  <si>
    <t>TIGER 미디어컨텐츠</t>
  </si>
  <si>
    <t>KODEX 국고채10년액티브</t>
  </si>
  <si>
    <t>KODEX K-친환경선박액티브</t>
  </si>
  <si>
    <t>KODEX K-로봇액티브</t>
  </si>
  <si>
    <t>ARIRANG 주도업종</t>
  </si>
  <si>
    <t>ACE 차이나항셍테크</t>
  </si>
  <si>
    <t>TIGER 게임TOP10</t>
  </si>
  <si>
    <t>KODEX 미국S&amp;P500헬스케어</t>
  </si>
  <si>
    <t>KBSTAR 미국장기국채선물인버스(H)</t>
  </si>
  <si>
    <t>KBSTAR 200산업재</t>
  </si>
  <si>
    <t>KODEX 미국S&amp;P500(H)</t>
  </si>
  <si>
    <t>히어로즈 26-09 회사채(AA-이상)액티브</t>
  </si>
  <si>
    <t>TIGER 국채3년</t>
  </si>
  <si>
    <t>KODEX 아시아반도체공급망exChina액티브</t>
  </si>
  <si>
    <t>TIGER CD금리투자KIS(합성)</t>
  </si>
  <si>
    <t>히어로즈 TDF2050액티브</t>
  </si>
  <si>
    <t>ACE 미국WideMoat가치주</t>
  </si>
  <si>
    <t>TREX 펀더멘탈 200</t>
  </si>
  <si>
    <t>TIGER 구리실물</t>
  </si>
  <si>
    <t>KBSTAR 코스닥150선물레버리지</t>
  </si>
  <si>
    <t>KBSTAR 삼성그룹Top3채권혼합블룸버그</t>
  </si>
  <si>
    <t>KBSTAR 글로벌농업경제MV</t>
  </si>
  <si>
    <t>TIGER 차이나항셍테크레버리지(합성 H)</t>
  </si>
  <si>
    <t>KOSEF 미국달러선물</t>
  </si>
  <si>
    <t>KBSTAR 200중공업</t>
  </si>
  <si>
    <t>KODEX 미국반도체MV</t>
  </si>
  <si>
    <t>TIGER Fn메타버스</t>
  </si>
  <si>
    <t>KODEX Top5PlusTR</t>
  </si>
  <si>
    <t>TIGER TSMC밸류체인FACTSET</t>
  </si>
  <si>
    <t>KODEX 차이나과창판STAR50(합성)</t>
  </si>
  <si>
    <t>HANARO KRX300</t>
  </si>
  <si>
    <t>KBSTAR 200고배당커버드콜ATM</t>
  </si>
  <si>
    <t>ACE 미국하이일드액티브(H)</t>
  </si>
  <si>
    <t>KODEX 반도체</t>
  </si>
  <si>
    <t>TIGER 200 산업재</t>
  </si>
  <si>
    <t>KODEX 미국S&amp;P500필수소비재</t>
  </si>
  <si>
    <t>KBSTAR 차이나항셍테크</t>
  </si>
  <si>
    <t>KODEX 퀄리티Plus</t>
  </si>
  <si>
    <t>KOSEF 200선물인버스</t>
  </si>
  <si>
    <t>HANARO Fn K-POP&amp;미디어</t>
  </si>
  <si>
    <t>KODEX 국고채3년</t>
  </si>
  <si>
    <t>KODEX WTI원유선물(H)</t>
  </si>
  <si>
    <t>KOSEF 물가채KIS</t>
  </si>
  <si>
    <t>HANARO 200</t>
  </si>
  <si>
    <t>ACE 단기채권알파액티브</t>
  </si>
  <si>
    <t>SOL 미국배당다우존스</t>
  </si>
  <si>
    <t>TIGER 종합채권(AA-이상)액티브</t>
  </si>
  <si>
    <t>KODEX TDF2030액티브</t>
  </si>
  <si>
    <t>KBSTAR 게임테마</t>
  </si>
  <si>
    <t>HANARO CAPEX설비투자iSelect</t>
  </si>
  <si>
    <t>WOORI 미국S&amp;P우주항공&amp;디펜스</t>
  </si>
  <si>
    <t>SOL 코스닥150</t>
  </si>
  <si>
    <t>TIGER 방송통신</t>
  </si>
  <si>
    <t>FOCUS ESG리더스</t>
  </si>
  <si>
    <t>TIGER 미국S&amp;P500선물(H)</t>
  </si>
  <si>
    <t>ARIRANG 미국테크10iSelect</t>
  </si>
  <si>
    <t>ARIRANG TDF2030액티브</t>
  </si>
  <si>
    <t>ACE 일본TOPIX레버리지(H)</t>
  </si>
  <si>
    <t>TIGER LG그룹+펀더멘털</t>
  </si>
  <si>
    <t>TIGER 2차전지TOP10레버리지</t>
  </si>
  <si>
    <t>KODEX 미국달러SOFR금리액티브(합성)</t>
  </si>
  <si>
    <t>TIGER 코스피고배당</t>
  </si>
  <si>
    <t>에셋플러스 글로벌플랫폼액티브</t>
  </si>
  <si>
    <t>KBSTAR 헬스케어채권혼합</t>
  </si>
  <si>
    <t>KBSTAR 글로벌수소경제Indxx</t>
  </si>
  <si>
    <t>히어로즈 글로벌리츠이지스액티브</t>
  </si>
  <si>
    <t>TIGER 미국S&amp;P500TR(H)</t>
  </si>
  <si>
    <t>KODEX 미국FANG플러스(H)</t>
  </si>
  <si>
    <t>KOSEF 차이나내수소비TOP CSI</t>
  </si>
  <si>
    <t>KODEX 밸류Plus</t>
  </si>
  <si>
    <t>KODEX 53-09 국고채액티브</t>
  </si>
  <si>
    <t>KODEX MSCI퀄리티</t>
  </si>
  <si>
    <t>TIGER 일본TOPIX(합성 H)</t>
  </si>
  <si>
    <t>KODEX CD금리액티브(합성)</t>
  </si>
  <si>
    <t>히어로즈 CD금리액티브(합성)</t>
  </si>
  <si>
    <t>KBSTAR 채권혼합</t>
  </si>
  <si>
    <t>SOL KRX기후변화솔루션</t>
  </si>
  <si>
    <t>TIGER 미국배당다우존스</t>
  </si>
  <si>
    <t>마이티 26-09 특수채(AAA)액티브</t>
  </si>
  <si>
    <t>HANARO 200선물레버리지</t>
  </si>
  <si>
    <t>TIGER 한중전기차(합성)</t>
  </si>
  <si>
    <t>ACE 미국S&amp;P500</t>
  </si>
  <si>
    <t>KBSTAR Fn컨택트대표</t>
  </si>
  <si>
    <t>ACE 레버리지</t>
  </si>
  <si>
    <t>KBSTAR 금융채액티브</t>
  </si>
  <si>
    <t>TIGER 유로스탁스레버리지(합성 H)</t>
  </si>
  <si>
    <t>ARIRANG 미국S&amp;P500(H)</t>
  </si>
  <si>
    <t>HANARO Fn K-반도체</t>
  </si>
  <si>
    <t>KOSEF 코스피100</t>
  </si>
  <si>
    <t>KODEX 국채선물3년인버스</t>
  </si>
  <si>
    <t>KODEX TRF7030</t>
  </si>
  <si>
    <t>KBSTAR 미국나스닥100</t>
  </si>
  <si>
    <t>TIGER 2차전지테마</t>
  </si>
  <si>
    <t>ACE 2차전지&amp;친환경차액티브</t>
  </si>
  <si>
    <t>KBSTAR 200선물인버스2X</t>
  </si>
  <si>
    <t>KODEX KRX기후변화솔루션</t>
  </si>
  <si>
    <t>SOL 의료기기소부장Fn</t>
  </si>
  <si>
    <t>ARIRANG 스마트베타Quality채권혼합</t>
  </si>
  <si>
    <t>KBSTAR 유로스탁스50(H)</t>
  </si>
  <si>
    <t>TIGER 200커버드콜5%OTM</t>
  </si>
  <si>
    <t>ACE 25-06 회사채(AA-이상)액티브</t>
  </si>
  <si>
    <t>TIGER 모멘텀</t>
  </si>
  <si>
    <t>KODEX 건설</t>
  </si>
  <si>
    <t>ACE 국고채3년</t>
  </si>
  <si>
    <t>ACE 주주환원가치주액티브</t>
  </si>
  <si>
    <t>ARIRANG 글로벌MSCI(합성 H)</t>
  </si>
  <si>
    <t>TIGER 200 금융</t>
  </si>
  <si>
    <t>KBSTAR 우량업종대표주</t>
  </si>
  <si>
    <t>KBSTAR TDF2030액티브</t>
  </si>
  <si>
    <t>KTOP 25-08 회사채(A+이상)액티브</t>
  </si>
  <si>
    <t>KBSTAR 중소형고배당</t>
  </si>
  <si>
    <t>TIGER 인도니프티50레버리지(합성)</t>
  </si>
  <si>
    <t>HANARO 글로벌탄소배출권선물ICE(합성)</t>
  </si>
  <si>
    <t>KBSTAR Fn창업투자회사</t>
  </si>
  <si>
    <t>ACE 베트남VN30(합성)</t>
  </si>
  <si>
    <t>KODEX 콩선물(H)</t>
  </si>
  <si>
    <t>TIGER MKF배당귀족</t>
  </si>
  <si>
    <t>TIGER 차이나클린에너지SOLACTIVE</t>
  </si>
  <si>
    <t>KoAct 바이오헬스케어액티브</t>
  </si>
  <si>
    <t>히어로즈 TDF2040액티브</t>
  </si>
  <si>
    <t>ACE 멕시코MSCI(합성)</t>
  </si>
  <si>
    <t>TIGER 차이나항셍테크</t>
  </si>
  <si>
    <t>KBSTAR 단기통안채</t>
  </si>
  <si>
    <t>ARIRANG 우량회사채50 1년</t>
  </si>
  <si>
    <t>히어로즈 단기채권ESG액티브</t>
  </si>
  <si>
    <t>SOL 반도체소부장Fn</t>
  </si>
  <si>
    <t>KODEX TRF3070</t>
  </si>
  <si>
    <t>TIGER 미국S&amp;P500선물인버스(H)</t>
  </si>
  <si>
    <t>TIMEFOLIO 미국나스닥100액티브</t>
  </si>
  <si>
    <t>KODEX 33-06 국고채액티브</t>
  </si>
  <si>
    <t>SOL KRX300</t>
  </si>
  <si>
    <t>ACE 중장기국공채액티브</t>
  </si>
  <si>
    <t>KBSTAR 25-11 회사채(AA-이상)액티브</t>
  </si>
  <si>
    <t>TIGER KRX300</t>
  </si>
  <si>
    <t>HANARO 글로벌반도체TOP10 SOLACTIVE</t>
  </si>
  <si>
    <t>ARIRANG 고배당주</t>
  </si>
  <si>
    <t>ARIRANG K방산Fn</t>
  </si>
  <si>
    <t>KBSTAR Fn수소경제테마</t>
  </si>
  <si>
    <t>HANARO Fn K-게임</t>
  </si>
  <si>
    <t>KODEX 25-11 회사채(A+이상)액티브</t>
  </si>
  <si>
    <t>HANARO 미국S&amp;P500</t>
  </si>
  <si>
    <t>에셋플러스 코리아플랫폼액티브</t>
  </si>
  <si>
    <t>KOSEF 코스닥글로벌</t>
  </si>
  <si>
    <t>ARIRANG KRX300</t>
  </si>
  <si>
    <t>KODEX 단기채권PLUS</t>
  </si>
  <si>
    <t>MASTER 테크미디어텔레콤액티브</t>
  </si>
  <si>
    <t>TIMEFOLIO 글로벌AI인공지능액티브</t>
  </si>
  <si>
    <t>TIGER 200선물레버리지</t>
  </si>
  <si>
    <t>KODEX 장기종합채권(AA-이상)액티브KAP</t>
  </si>
  <si>
    <t>HK 베스트일레븐액티브</t>
  </si>
  <si>
    <t>에셋플러스 코리아대장장이액티브</t>
  </si>
  <si>
    <t>KBSTAR 모멘텀로우볼</t>
  </si>
  <si>
    <t>KODEX 미국달러선물인버스2X</t>
  </si>
  <si>
    <t>ARIRANG 코스피</t>
  </si>
  <si>
    <t>KBSTAR IT플러스</t>
  </si>
  <si>
    <t>KBSTAR 단기종합채권(AA-이상)액티브</t>
  </si>
  <si>
    <t>HANARO Fn전기&amp;수소차</t>
  </si>
  <si>
    <t>ARIRANG KS밸류가중TR</t>
  </si>
  <si>
    <t>KODEX MSCI Korea</t>
  </si>
  <si>
    <t>KODEX 200TR</t>
  </si>
  <si>
    <t>KODEX 국고채30년액티브</t>
  </si>
  <si>
    <t>HANARO 글로벌생성형AI액티브</t>
  </si>
  <si>
    <t>SOL 한국형글로벌반도체액티브</t>
  </si>
  <si>
    <t>TIGER 미국채10년선물</t>
  </si>
  <si>
    <t>KODEX 미국메타버스나스닥액티브</t>
  </si>
  <si>
    <t>HK 종합채권(AA-이상)액티브</t>
  </si>
  <si>
    <t>ACE 스마트로우볼</t>
  </si>
  <si>
    <t>KBSTAR 2차전지TOP10</t>
  </si>
  <si>
    <t>TIGER 리츠부동산인프라</t>
  </si>
  <si>
    <t>ACE 일본반도체</t>
  </si>
  <si>
    <t>KBSTAR 차이나HSCEI(H)</t>
  </si>
  <si>
    <t>ACE 글로벌메타버스테크액티브</t>
  </si>
  <si>
    <t>KOSEF 독일DAX</t>
  </si>
  <si>
    <t>TIGER 200커버드콜ATM</t>
  </si>
  <si>
    <t>TIGER 미국S&amp;P500배당귀족</t>
  </si>
  <si>
    <t>TIGER 2차전지소재Fn</t>
  </si>
  <si>
    <t>HANARO 코스닥150</t>
  </si>
  <si>
    <t>ARIRANG 고배당주채권혼합</t>
  </si>
  <si>
    <t>TIGER 바이오TOP10</t>
  </si>
  <si>
    <t>BNK 주주가치액티브</t>
  </si>
  <si>
    <t>HK S&amp;P코리아로우볼</t>
  </si>
  <si>
    <t>에셋플러스 글로벌대장장이액티브</t>
  </si>
  <si>
    <t>TIGER 경기방어채권혼합</t>
  </si>
  <si>
    <t>TIGER 투자등급회사채액티브</t>
  </si>
  <si>
    <t>ARIRANG 선진국MSCI(합성 H)</t>
  </si>
  <si>
    <t>ARIRANG 미국나스닥테크</t>
  </si>
  <si>
    <t>히어로즈 25-09 미국채권(AA-이상)액티브</t>
  </si>
  <si>
    <t>HANARO Fn K-메타버스MZ</t>
  </si>
  <si>
    <t>KODEX 한중반도체(합성)</t>
  </si>
  <si>
    <t>히어로즈 미국달러SOFR금리액티브(합성)</t>
  </si>
  <si>
    <t>KODEX K-이노베이션액티브</t>
  </si>
  <si>
    <t>KODEX 국채선물10년인버스</t>
  </si>
  <si>
    <t>KBSTAR 국고채3년</t>
  </si>
  <si>
    <t>TIGER 국고채30년스트립액티브</t>
  </si>
  <si>
    <t>TIGER 미국S&amp;P500</t>
  </si>
  <si>
    <t>KODEX 미국S&amp;P500TR</t>
  </si>
  <si>
    <t>HANARO Fn K-푸드</t>
  </si>
  <si>
    <t>히어로즈 종합채권(AA-이상)액티브</t>
  </si>
  <si>
    <t>KODEX 코스닥글로벌</t>
  </si>
  <si>
    <t>KODEX S&amp;P글로벌인프라(합성)</t>
  </si>
  <si>
    <t>마이티 200커버드콜ATM레버리지</t>
  </si>
  <si>
    <t>HANARO 농업융복합산업</t>
  </si>
  <si>
    <t>TIGER 차이나항셍25</t>
  </si>
  <si>
    <t>KODEX Fn성장</t>
  </si>
  <si>
    <t>SOL 차이나육성산업액티브(합성)</t>
  </si>
  <si>
    <t>KBSTAR 글로벌원자력iSelect</t>
  </si>
  <si>
    <t>KODEX K-메타버스액티브</t>
  </si>
  <si>
    <t>ACE 미국빅테크TOP7 Plus레버리지(합성)</t>
  </si>
  <si>
    <t>KODEX 혁신기술테마액티브</t>
  </si>
  <si>
    <t>TIGER 차이나반도체FACTSET</t>
  </si>
  <si>
    <t>HANARO 유로존국채25년플러스(합성 H)</t>
  </si>
  <si>
    <t>TIGER 25-10 회사채(A+이상)액티브</t>
  </si>
  <si>
    <t>TIGER 코스피</t>
  </si>
  <si>
    <t>KODEX 차이나심천ChiNext(합성)</t>
  </si>
  <si>
    <t>ARIRANG 글로벌수소&amp;차세대연료전지MV</t>
  </si>
  <si>
    <t>TIGER 인터넷TOP10</t>
  </si>
  <si>
    <t>KODEX 철강</t>
  </si>
  <si>
    <t>TIGER 리츠부동산인프라채권TR KIS</t>
  </si>
  <si>
    <t>KBSTAR 중장기국공채액티브</t>
  </si>
  <si>
    <t>TIGER 미국테크TOP10 INDXX</t>
  </si>
  <si>
    <t>WOORI 25-09 회사채(AA-이상)액티브</t>
  </si>
  <si>
    <t>KOSEF 미국S&amp;P500</t>
  </si>
  <si>
    <t>KOSEF 미국S&amp;P500(H)</t>
  </si>
  <si>
    <t>HANARO 탄소효율그린뉴딜</t>
  </si>
  <si>
    <t>KODEX 200IT TR</t>
  </si>
  <si>
    <t>KODEX 인도Nifty50</t>
  </si>
  <si>
    <t>KODEX 유럽탄소배출권선물ICE(H)</t>
  </si>
  <si>
    <t>KBSTAR 중국본토대형주CSI100</t>
  </si>
  <si>
    <t>KBSTAR KQ고배당</t>
  </si>
  <si>
    <t>TIGER 원유선물Enhanced(H)</t>
  </si>
  <si>
    <t>TIGER 미국달러선물레버리지</t>
  </si>
  <si>
    <t>FOCUS AI코리아액티브</t>
  </si>
  <si>
    <t>KODEX 200</t>
  </si>
  <si>
    <t>KOSEF SK그룹대표주</t>
  </si>
  <si>
    <t>TIGER 코스닥150선물인버스</t>
  </si>
  <si>
    <t>KODEX 배당가치</t>
  </si>
  <si>
    <t>KBSTAR 중국본토CSI300</t>
  </si>
  <si>
    <t>KOSEF 미국ETF산업STOXX</t>
  </si>
  <si>
    <t>KODEX AI반도체핵심장비</t>
  </si>
  <si>
    <t>ACE 미국빅테크TOP7 Plus</t>
  </si>
  <si>
    <t>ACE Fn성장소비주도주</t>
  </si>
  <si>
    <t>BNK 미래전략기술액티브</t>
  </si>
  <si>
    <t>KBSTAR 단기국공채액티브</t>
  </si>
  <si>
    <t>KBSTAR 국채선물10년</t>
  </si>
  <si>
    <t>HANARO KAP초장기국고채</t>
  </si>
  <si>
    <t>KODEX 미국ETF산업Top10 Indxx</t>
  </si>
  <si>
    <t>KODEX 인도Nifty50레버리지(합성)</t>
  </si>
  <si>
    <t>KoAct 글로벌AI&amp;로봇액티브</t>
  </si>
  <si>
    <t>KODEX 코스피대형주</t>
  </si>
  <si>
    <t>KODEX 배당성장채권혼합</t>
  </si>
  <si>
    <t>ACE 미국30년국채선물레버리지(합성 H)</t>
  </si>
  <si>
    <t>파워 200</t>
  </si>
  <si>
    <t>TIGER 차이나CSI300레버리지(합성)</t>
  </si>
  <si>
    <t>KBSTAR 미국단기투자등급회사채액티브</t>
  </si>
  <si>
    <t>KODEX 미국나스닥100선물인버스(H)</t>
  </si>
  <si>
    <t>ACE 테슬라밸류체인액티브</t>
  </si>
  <si>
    <t>KOSEF 단기자금</t>
  </si>
  <si>
    <t>ACE 러시아MSCI(합성)</t>
  </si>
  <si>
    <t>SOL 국고채3년</t>
  </si>
  <si>
    <t>TIGER 반도체</t>
  </si>
  <si>
    <t>TIGER 차이나HSCEI</t>
  </si>
  <si>
    <t>SOL 유럽탄소배출권선물인버스ICE(H)</t>
  </si>
  <si>
    <t>KODEX 200선물인버스2X</t>
  </si>
  <si>
    <t>WOORI AI ESG액티브</t>
  </si>
  <si>
    <t>HANARO 글로벌워터MSCI(합성)</t>
  </si>
  <si>
    <t>TIGER 미국필라델피아반도체레버리지(합성)</t>
  </si>
  <si>
    <t>KODEX 삼성전자채권혼합Wise</t>
  </si>
  <si>
    <t>KBSTAR 미국반도체NYSE(H)</t>
  </si>
  <si>
    <t>KODEX 단기변동금리부채권액티브</t>
  </si>
  <si>
    <t>KODEX 보험</t>
  </si>
  <si>
    <t>TIGER MSCI KOREA ESG리더스</t>
  </si>
  <si>
    <t>TIGER 지주회사</t>
  </si>
  <si>
    <t>KBSTAR 모멘텀밸류</t>
  </si>
  <si>
    <t>TIGER 미국테크TOP10 INDXX(H)</t>
  </si>
  <si>
    <t>KBSTAR 국고채3년선물인버스</t>
  </si>
  <si>
    <t>KODEX 차이나2차전지MSCI(합성)</t>
  </si>
  <si>
    <t>TIGER 금속선물(H)</t>
  </si>
  <si>
    <t>ACE 인버스</t>
  </si>
  <si>
    <t>KODEX 200미국채혼합</t>
  </si>
  <si>
    <t>히어로즈 국고채30년액티브</t>
  </si>
  <si>
    <t>KODEX 배당성장</t>
  </si>
  <si>
    <t>ACE 싱가포르리츠</t>
  </si>
  <si>
    <t>ACE G2전기차&amp;자율주행액티브</t>
  </si>
  <si>
    <t>TIGER 우선주</t>
  </si>
  <si>
    <t>KBSTAR 팔라듐선물(H)</t>
  </si>
  <si>
    <t>TIGER 퓨처모빌리티액티브</t>
  </si>
  <si>
    <t>TIGER 200 IT</t>
  </si>
  <si>
    <t>ARIRANG K리츠Fn</t>
  </si>
  <si>
    <t>ARIRANG 200선물인버스2X</t>
  </si>
  <si>
    <t>TIGER 200 헬스케어</t>
  </si>
  <si>
    <t>TIGER 미국달러선물인버스2X</t>
  </si>
  <si>
    <t>KODEX 200롱코스닥150숏선물</t>
  </si>
  <si>
    <t>TIGER 미국다우존스30</t>
  </si>
  <si>
    <t>KBSTAR 국채선물3년</t>
  </si>
  <si>
    <t>KOSEF 코스닥150</t>
  </si>
  <si>
    <t>TIGER 차이나과창판STAR50(합성)</t>
  </si>
  <si>
    <t>TIGER 글로벌메타버스액티브</t>
  </si>
  <si>
    <t>히어로즈 TDF2030액티브</t>
  </si>
  <si>
    <t>KODEX 삼성그룹밸류</t>
  </si>
  <si>
    <t>KODEX 미디어&amp;엔터테인먼트</t>
  </si>
  <si>
    <t>TIGER 탄소효율그린뉴딜</t>
  </si>
  <si>
    <t>SOL 한국형글로벌전기차&amp;2차전지액티브</t>
  </si>
  <si>
    <t>KODEX iShares미국투자등급회사채액티브</t>
  </si>
  <si>
    <t>TIGER 200 생활소비재</t>
  </si>
  <si>
    <t>KBSTAR 수출주</t>
  </si>
  <si>
    <t>TIGER 24-12 금융채(AA-이상)</t>
  </si>
  <si>
    <t>TIGER 미국달러SOFR금리액티브(합성)</t>
  </si>
  <si>
    <t>KBSTAR Fn K-뉴딜디지털플러스</t>
  </si>
  <si>
    <t>KODEX KRX300</t>
  </si>
  <si>
    <t>KODEX 미국나스닥100(H)</t>
  </si>
  <si>
    <t>KOSEF 차이나A50커넥트레버리지MSCI(합성H)</t>
  </si>
  <si>
    <t>KODEX 미국S&amp;P500유틸리티</t>
  </si>
  <si>
    <t>KODEX 미국S&amp;P500선물(H)</t>
  </si>
  <si>
    <t>BNK 24-11 회사채(AA-이상)액티브</t>
  </si>
  <si>
    <t>ARIRANG 200선물레버리지</t>
  </si>
  <si>
    <t>TIGER 미국채30년스트립액티브(합성 H)</t>
  </si>
  <si>
    <t>SOL 자동차TOP3플러스</t>
  </si>
  <si>
    <t>ACE 삼성그룹섹터가중</t>
  </si>
  <si>
    <t>TIGER 코스닥150IT</t>
  </si>
  <si>
    <t>TIMEFOLIO 탄소중립액티브</t>
  </si>
  <si>
    <t>KBSTAR AI&amp;로봇</t>
  </si>
  <si>
    <t>KOSEF 통안채1년</t>
  </si>
  <si>
    <t>KBSTAR 미국장기국채선물(H)</t>
  </si>
  <si>
    <t>ARIRANG KOFR금리</t>
  </si>
  <si>
    <t>ACE 미국S&amp;P500채권혼합액티브</t>
  </si>
  <si>
    <t>KBSTAR 대형고배당10TR</t>
  </si>
  <si>
    <t>ACE 26-06 회사채(AA-이상)액티브</t>
  </si>
  <si>
    <t>TIGER 금은선물(H)</t>
  </si>
  <si>
    <t>TIGER 농산물선물Enhanced(H)</t>
  </si>
  <si>
    <t>ARIRANG 코스닥150선물인버스</t>
  </si>
  <si>
    <t>KODEX KTOP30</t>
  </si>
  <si>
    <t>KODEX 미국나스닥100TR</t>
  </si>
  <si>
    <t>KODEX 일본TOPIX100</t>
  </si>
  <si>
    <t>KOSEF 차이나A50커넥트MSCI</t>
  </si>
  <si>
    <t>ACE 미국친환경그린테마INDXX</t>
  </si>
  <si>
    <t>ARIRANG 코스피50</t>
  </si>
  <si>
    <t>KODEX Fn시스템반도체</t>
  </si>
  <si>
    <t>KBSTAR Fn5G테크</t>
  </si>
  <si>
    <t>WOORI 미국S&amp;P500</t>
  </si>
  <si>
    <t>ACE 글로벌반도체TOP4 Plus SOLACTIVE</t>
  </si>
  <si>
    <t>KODEX 2차전지핵심소재10 Fn</t>
  </si>
  <si>
    <t>KODEX KOFR금리액티브(합성)</t>
  </si>
  <si>
    <t>ACE 원자력테마딥서치</t>
  </si>
  <si>
    <t>KODEX 경기소비재</t>
  </si>
  <si>
    <t>KBSTAR 200경기소비재</t>
  </si>
  <si>
    <t>TIGER 소프트웨어</t>
  </si>
  <si>
    <t>KBSTAR 200TR</t>
  </si>
  <si>
    <t>ACE Fn5G플러스</t>
  </si>
  <si>
    <t>TIGER 미국배당+7%프리미엄다우존스</t>
  </si>
  <si>
    <t>KBSTAR 헬스케어</t>
  </si>
  <si>
    <t>KBSTAR 미국달러SOFR금리액티브(합성)</t>
  </si>
  <si>
    <t>KODEX 2차전지산업레버리지</t>
  </si>
  <si>
    <t>ACE 미국스팩&amp;IPO INDXX</t>
  </si>
  <si>
    <t>TIGER 미국캐시카우100</t>
  </si>
  <si>
    <t>KBSTAR 미국S&amp;P배당킹</t>
  </si>
  <si>
    <t>KODEX 차이나H레버리지(H)</t>
  </si>
  <si>
    <t>TIGER 유로스탁스50(합성 H)</t>
  </si>
  <si>
    <t>ARIRANG 중형주저변동50</t>
  </si>
  <si>
    <t>ARIRANG 국고채30년액티브</t>
  </si>
  <si>
    <t>TIMEFOLIO 이노베이션액티브</t>
  </si>
  <si>
    <t>SOL 글로벌탄소배출권선물ICE(합성)</t>
  </si>
  <si>
    <t>파워 코스피100</t>
  </si>
  <si>
    <t>ARIRANG 미국장기우량회사채</t>
  </si>
  <si>
    <t>TIGER 이머징마켓MSCI레버리지(합성 H)</t>
  </si>
  <si>
    <t>KODEX 코스닥150</t>
  </si>
  <si>
    <t>KODEX 2차전지산업</t>
  </si>
  <si>
    <t>KBSTAR 글로벌자산배분액티브</t>
  </si>
  <si>
    <t>TIGER 일본니케이225</t>
  </si>
  <si>
    <t>ACE 미국30년국채액티브(H)</t>
  </si>
  <si>
    <t>ACE 미국배당다우존스</t>
  </si>
  <si>
    <t>TIGER 우량가치</t>
  </si>
  <si>
    <t>SOL 차이나강소기업CSI500(합성 H)</t>
  </si>
  <si>
    <t>ACE 중국과창판STAR50</t>
  </si>
  <si>
    <t>TIGER 원유선물인버스(H)</t>
  </si>
  <si>
    <t>KBSTAR 25-03 회사채(AA-이상)액티브</t>
  </si>
  <si>
    <t>TIGER 200</t>
  </si>
  <si>
    <t>KODEX 200가치저변동</t>
  </si>
  <si>
    <t>HANARO e커머스</t>
  </si>
  <si>
    <t>ACE 미국나스닥100채권혼합액티브</t>
  </si>
  <si>
    <t>TIMEFOLIO 미국S&amp;P500액티브</t>
  </si>
  <si>
    <t>ARIRANG 미국테크10레버리지iSelect(합성)</t>
  </si>
  <si>
    <t>TIGER 증권</t>
  </si>
  <si>
    <t>KBSTAR 종합채권(A-이상)액티브</t>
  </si>
  <si>
    <t>KODEX 미국러셀2000(H)</t>
  </si>
  <si>
    <t>ACE 미국다우존스리츠(합성 H)</t>
  </si>
  <si>
    <t>KODEX 200동일가중</t>
  </si>
  <si>
    <t>KOSEF 코스닥150선물레버리지</t>
  </si>
  <si>
    <t>TIGER K게임</t>
  </si>
  <si>
    <t>MASTER 스마트커머스액티브</t>
  </si>
  <si>
    <t>KODEX iShares미국하이일드액티브</t>
  </si>
  <si>
    <t>TIGER 미국나스닥100커버드콜(합성)</t>
  </si>
  <si>
    <t>TIGER 200 건설</t>
  </si>
  <si>
    <t>KBSTAR 국채선물10년인버스</t>
  </si>
  <si>
    <t>KODEX 코스닥150선물인버스</t>
  </si>
  <si>
    <t>KBSTAR 미국빅데이터Top3채권혼합iSelect</t>
  </si>
  <si>
    <t>WOORI 200</t>
  </si>
  <si>
    <t>KOSEF 국고채10년레버리지</t>
  </si>
  <si>
    <t>ACE 종합채권(AA-이상)KIS액티브</t>
  </si>
  <si>
    <t>SOL 25-09 회사채(AA-이상)액티브</t>
  </si>
  <si>
    <t>KODEX 미국S&amp;P500배당귀족커버드콜(합성 H)</t>
  </si>
  <si>
    <t>KBSTAR KRX300레버리지</t>
  </si>
  <si>
    <t>TIGER 미국S&amp;P500레버리지(합성 H)</t>
  </si>
  <si>
    <t>SOL 유럽탄소배출권선물S&amp;P(H)</t>
  </si>
  <si>
    <t>TIGER 인버스</t>
  </si>
  <si>
    <t>KODEX MSCI KOREA ESG유니버설</t>
  </si>
  <si>
    <t>HANARO Fn K-뉴딜디지털플러스</t>
  </si>
  <si>
    <t>ACE 일본Nikkei225(H)</t>
  </si>
  <si>
    <t>ACE 국채선물10년인버스</t>
  </si>
  <si>
    <t>KOSEF K-테크TOP10</t>
  </si>
  <si>
    <t>TIGER 중장기국채</t>
  </si>
  <si>
    <t>KBSTAR KIS국고채30년Enhanced</t>
  </si>
  <si>
    <t>마이다스 KoreaStock중소형액티브</t>
  </si>
  <si>
    <t>TIGER 현대차그룹+펀더멘털</t>
  </si>
  <si>
    <t>HANARO 글로벌럭셔리S&amp;P(합성)</t>
  </si>
  <si>
    <t>KOSEF 미국달러선물인버스</t>
  </si>
  <si>
    <t>TIGER 200TR</t>
  </si>
  <si>
    <t>KODEX MSCI Korea TR</t>
  </si>
  <si>
    <t>KODEX 미국달러선물레버리지</t>
  </si>
  <si>
    <t>KBSTAR 미국S&amp;P500(H)</t>
  </si>
  <si>
    <t>ACE 스마트하이베타</t>
  </si>
  <si>
    <t>TIGER KOFR금리액티브(합성)</t>
  </si>
  <si>
    <t>TIGER 중국소비테마</t>
  </si>
  <si>
    <t>TIGER 라틴35</t>
  </si>
  <si>
    <t>TIGER 차이나CSI300인버스(합성)</t>
  </si>
  <si>
    <t>KBSTAR 코스닥150</t>
  </si>
  <si>
    <t>ACE 포스코그룹포커스</t>
  </si>
  <si>
    <t>ARIRANG 신흥국MSCI인버스(합성 H)</t>
  </si>
  <si>
    <t>FOCUS 혁신기업액티브</t>
  </si>
  <si>
    <t>TIGER 차이나전기차SOLACTIVE</t>
  </si>
  <si>
    <t>VITA MZ소비액티브</t>
  </si>
  <si>
    <t>TIGER 미국MSCI리츠(합성 H)</t>
  </si>
  <si>
    <t>KODEX 24-12 은행채(AA+이상)액티브</t>
  </si>
  <si>
    <t>HANARO 종합채권(AA-이상)액티브</t>
  </si>
  <si>
    <t>KBSTAR 미국S&amp;P원유생산기업(합성 H)</t>
  </si>
  <si>
    <t>KBSTAR 200커뮤니케이션서비스</t>
  </si>
  <si>
    <t>KODEX 200exTOP</t>
  </si>
  <si>
    <t>KODEX Fn K-뉴딜디지털플러스</t>
  </si>
  <si>
    <t>KODEX KRX300레버리지</t>
  </si>
  <si>
    <t>KOSEF 200선물레버리지</t>
  </si>
  <si>
    <t>FOCUS KRX300</t>
  </si>
  <si>
    <t>KODEX 고배당</t>
  </si>
  <si>
    <t>KOSEF 200TR</t>
  </si>
  <si>
    <t>ACE 미국IT인터넷S&amp;P(합성 H)</t>
  </si>
  <si>
    <t>VITA 밸류알파액티브</t>
  </si>
  <si>
    <t>ARIRANG 국고채10년액티브</t>
  </si>
  <si>
    <t>KBSTAR 배터리 리사이클링iSelect</t>
  </si>
  <si>
    <t>SOL 국고채10년</t>
  </si>
  <si>
    <t>TIGER KEDI혁신기업ESG30</t>
  </si>
  <si>
    <t>TIGER S&amp;P글로벌헬스케어(합성)</t>
  </si>
  <si>
    <t>KODEX 레버리지</t>
  </si>
  <si>
    <t>TIGER 화장품</t>
  </si>
  <si>
    <t>KODEX 골드선물인버스(H)</t>
  </si>
  <si>
    <t>ARIRANG 국채선물3년</t>
  </si>
  <si>
    <t>TIGER 미국나스닥바이오</t>
  </si>
  <si>
    <t>KODEX Fn멀티팩터</t>
  </si>
  <si>
    <t>TIGER 24-04 회사채(A+이상)액티브</t>
  </si>
  <si>
    <t>HANARO CD금리액티브(합성)</t>
  </si>
  <si>
    <t>KODEX MSCI모멘텀</t>
  </si>
  <si>
    <t>KODEX 차이나메타버스액티브</t>
  </si>
  <si>
    <t>KBSTAR ESG사회책임투자</t>
  </si>
  <si>
    <t>TREX 200</t>
  </si>
  <si>
    <t>BaseInfoConfig</t>
    <phoneticPr fontId="1" type="noConversion"/>
  </si>
  <si>
    <t>NameMatchConfig</t>
    <phoneticPr fontId="1" type="noConversion"/>
  </si>
  <si>
    <t>KBSTAR 미국채30년커버드콜(합성)</t>
  </si>
  <si>
    <t>KOSEF 글로벌퓨처모빌리티</t>
  </si>
  <si>
    <t>KODEX 26-12 회사채(AA-이상)액티브</t>
  </si>
  <si>
    <t>KOSEF 글로벌디지털경제</t>
  </si>
  <si>
    <t>TIGER 배당프리미엄액티브</t>
  </si>
  <si>
    <t>KTOP 차이나H(H)</t>
  </si>
  <si>
    <t>TRUSTON 주주가치액티브</t>
  </si>
  <si>
    <t>etf_info_file</t>
    <phoneticPr fontId="1" type="noConversion"/>
  </si>
  <si>
    <t>market cap</t>
  </si>
  <si>
    <t>type</t>
  </si>
  <si>
    <t>issue date</t>
  </si>
  <si>
    <t>ter</t>
  </si>
  <si>
    <t>issuer</t>
  </si>
  <si>
    <t>국내주식형, 시가총액규모</t>
  </si>
  <si>
    <t>미래에셋자산운용(주)</t>
  </si>
  <si>
    <t>해외상품</t>
  </si>
  <si>
    <t>국내혼합형, 주식/채권</t>
  </si>
  <si>
    <t>삼성자산운용(주)</t>
  </si>
  <si>
    <t>해외주식형, 시장대표</t>
  </si>
  <si>
    <t>에셋플러스자산운용(주)</t>
  </si>
  <si>
    <t>우리자산운용 주식회사</t>
  </si>
  <si>
    <t>국내채권형, 일반</t>
  </si>
  <si>
    <t>국내파생, 인버스</t>
  </si>
  <si>
    <t>케이비자산운용(주)</t>
  </si>
  <si>
    <t>국내주식형, 전략지수</t>
  </si>
  <si>
    <t>한국투자신탁운용</t>
  </si>
  <si>
    <t>국내주식형, 대표지수</t>
  </si>
  <si>
    <t>해외채권형, 일반</t>
  </si>
  <si>
    <t>한화자산운용</t>
  </si>
  <si>
    <t>해외주식형, 테마</t>
  </si>
  <si>
    <t>신한자산운용 주식회사</t>
  </si>
  <si>
    <t>국내주식형, 시장테마</t>
  </si>
  <si>
    <t>교보악사자산운용</t>
  </si>
  <si>
    <t>해외혼합형</t>
  </si>
  <si>
    <t>국내주식형, 섹터</t>
  </si>
  <si>
    <t>엔에이치아문디자산운용(주)</t>
  </si>
  <si>
    <t>해외통화, 파생</t>
  </si>
  <si>
    <t>국내파생, 구조화</t>
  </si>
  <si>
    <t>대신자산운용(주)</t>
  </si>
  <si>
    <t>해외주식형, 섹터</t>
  </si>
  <si>
    <t>해외파생</t>
  </si>
  <si>
    <t>키움투자자산운용(주)</t>
  </si>
  <si>
    <t>해외채권형, 파생</t>
  </si>
  <si>
    <t>국내채권형, 파생</t>
  </si>
  <si>
    <t>국내주식형, 그룹</t>
  </si>
  <si>
    <t>브이아이자산운용 주식회사</t>
  </si>
  <si>
    <t>흥국자산운용(주)</t>
  </si>
  <si>
    <t>국내파생, 레버리지</t>
  </si>
  <si>
    <t>해외상품, 부동산</t>
  </si>
  <si>
    <t>국내상품</t>
  </si>
  <si>
    <t>한국투자밸류자산운용(주)</t>
  </si>
  <si>
    <t>비엔케이자산운용(주)</t>
  </si>
  <si>
    <t>(주)타임폴리오자산운용</t>
  </si>
  <si>
    <t>해외주식형, 스타일</t>
  </si>
  <si>
    <t>국내혼합형, 채권/상품</t>
  </si>
  <si>
    <t>디비자산운용(주)</t>
  </si>
  <si>
    <t>케이씨지아이자산운용(주)</t>
  </si>
  <si>
    <t>하나자산운용(주)</t>
  </si>
  <si>
    <t>국내상품, 부동산</t>
  </si>
  <si>
    <t>마이다스에셋자산운용(주)</t>
  </si>
  <si>
    <t>삼성액티브자산운용 주식회사</t>
  </si>
  <si>
    <t>현대자산운용 주식회사</t>
  </si>
  <si>
    <t>유리자산운용(주)</t>
  </si>
  <si>
    <t>379800</t>
  </si>
  <si>
    <t>283580</t>
  </si>
  <si>
    <t>266410</t>
  </si>
  <si>
    <t>435550</t>
  </si>
  <si>
    <t>276970</t>
  </si>
  <si>
    <t>310970</t>
  </si>
  <si>
    <t>435420</t>
  </si>
  <si>
    <t>091180</t>
  </si>
  <si>
    <t>448300</t>
  </si>
  <si>
    <t>376410</t>
  </si>
  <si>
    <t>217780</t>
  </si>
  <si>
    <t>458750</t>
  </si>
  <si>
    <t>189400</t>
  </si>
  <si>
    <t>368590</t>
  </si>
  <si>
    <t>114820</t>
  </si>
  <si>
    <t>472170</t>
  </si>
  <si>
    <t>434730</t>
  </si>
  <si>
    <t>217770</t>
  </si>
  <si>
    <t>245360</t>
  </si>
  <si>
    <t>292560</t>
  </si>
  <si>
    <t>432600</t>
  </si>
  <si>
    <t>252420</t>
  </si>
  <si>
    <t>401470</t>
  </si>
  <si>
    <t>365040</t>
  </si>
  <si>
    <t>228810</t>
  </si>
  <si>
    <t>424460</t>
  </si>
  <si>
    <t>130680</t>
  </si>
  <si>
    <t>407300</t>
  </si>
  <si>
    <t>333940</t>
  </si>
  <si>
    <t>433330</t>
  </si>
  <si>
    <t>181480</t>
  </si>
  <si>
    <t>385520</t>
  </si>
  <si>
    <t>310960</t>
  </si>
  <si>
    <t>404260</t>
  </si>
  <si>
    <t>261260</t>
  </si>
  <si>
    <t>381570</t>
  </si>
  <si>
    <t>429760</t>
  </si>
  <si>
    <t>215620</t>
  </si>
  <si>
    <t>138920</t>
  </si>
  <si>
    <t>140710</t>
  </si>
  <si>
    <t>404120</t>
  </si>
  <si>
    <t>114100</t>
  </si>
  <si>
    <t>289260</t>
  </si>
  <si>
    <t>139280</t>
  </si>
  <si>
    <t>371470</t>
  </si>
  <si>
    <t>213610</t>
  </si>
  <si>
    <t>290080</t>
  </si>
  <si>
    <t>256750</t>
  </si>
  <si>
    <t>415340</t>
  </si>
  <si>
    <t>429010</t>
  </si>
  <si>
    <t>236350</t>
  </si>
  <si>
    <t>438210</t>
  </si>
  <si>
    <t>307010</t>
  </si>
  <si>
    <t>261120</t>
  </si>
  <si>
    <t>471760</t>
  </si>
  <si>
    <t>213630</t>
  </si>
  <si>
    <t>407310</t>
  </si>
  <si>
    <t>195930</t>
  </si>
  <si>
    <t>150460</t>
  </si>
  <si>
    <t>395760</t>
  </si>
  <si>
    <t>463690</t>
  </si>
  <si>
    <t>401590</t>
  </si>
  <si>
    <t>456680</t>
  </si>
  <si>
    <t>269420</t>
  </si>
  <si>
    <t>244620</t>
  </si>
  <si>
    <t>395270</t>
  </si>
  <si>
    <t>122260</t>
  </si>
  <si>
    <t>404540</t>
  </si>
  <si>
    <t>253280</t>
  </si>
  <si>
    <t>333950</t>
  </si>
  <si>
    <t>453810</t>
  </si>
  <si>
    <t>226980</t>
  </si>
  <si>
    <t>291130</t>
  </si>
  <si>
    <t>459580</t>
  </si>
  <si>
    <t>464920</t>
  </si>
  <si>
    <t>138910</t>
  </si>
  <si>
    <t>435530</t>
  </si>
  <si>
    <t>445930</t>
  </si>
  <si>
    <t>292150</t>
  </si>
  <si>
    <t>153270</t>
  </si>
  <si>
    <t>459560</t>
  </si>
  <si>
    <t>419170</t>
  </si>
  <si>
    <t>220130</t>
  </si>
  <si>
    <t>133690</t>
  </si>
  <si>
    <t>417450</t>
  </si>
  <si>
    <t>441800</t>
  </si>
  <si>
    <t>404470</t>
  </si>
  <si>
    <t>218420</t>
  </si>
  <si>
    <t>284980</t>
  </si>
  <si>
    <t>241390</t>
  </si>
  <si>
    <t>438320</t>
  </si>
  <si>
    <t>261920</t>
  </si>
  <si>
    <t>437070</t>
  </si>
  <si>
    <t>385550</t>
  </si>
  <si>
    <t>441640</t>
  </si>
  <si>
    <t>422420</t>
  </si>
  <si>
    <t>466400</t>
  </si>
  <si>
    <t>433980</t>
  </si>
  <si>
    <t>267770</t>
  </si>
  <si>
    <t>470260</t>
  </si>
  <si>
    <t>447660</t>
  </si>
  <si>
    <t>469790</t>
  </si>
  <si>
    <t>394340</t>
  </si>
  <si>
    <t>465680</t>
  </si>
  <si>
    <t>289040</t>
  </si>
  <si>
    <t>466950</t>
  </si>
  <si>
    <t>280940</t>
  </si>
  <si>
    <t>466920</t>
  </si>
  <si>
    <t>451600</t>
  </si>
  <si>
    <t>325010</t>
  </si>
  <si>
    <t>465620</t>
  </si>
  <si>
    <t>253230</t>
  </si>
  <si>
    <t>400580</t>
  </si>
  <si>
    <t>302190</t>
  </si>
  <si>
    <t>237370</t>
  </si>
  <si>
    <t>433870</t>
  </si>
  <si>
    <t>438080</t>
  </si>
  <si>
    <t>292750</t>
  </si>
  <si>
    <t>472830</t>
  </si>
  <si>
    <t>271060</t>
  </si>
  <si>
    <t>363580</t>
  </si>
  <si>
    <t>329200</t>
  </si>
  <si>
    <t>463640</t>
  </si>
  <si>
    <t>160580</t>
  </si>
  <si>
    <t>140580</t>
  </si>
  <si>
    <t>174350</t>
  </si>
  <si>
    <t>453060</t>
  </si>
  <si>
    <t>176950</t>
  </si>
  <si>
    <t>433880</t>
  </si>
  <si>
    <t>289250</t>
  </si>
  <si>
    <t>470310</t>
  </si>
  <si>
    <t>367740</t>
  </si>
  <si>
    <t>451060</t>
  </si>
  <si>
    <t>334700</t>
  </si>
  <si>
    <t>428510</t>
  </si>
  <si>
    <t>261220</t>
  </si>
  <si>
    <t>239660</t>
  </si>
  <si>
    <t>377990</t>
  </si>
  <si>
    <t>419420</t>
  </si>
  <si>
    <t>336160</t>
  </si>
  <si>
    <t>139260</t>
  </si>
  <si>
    <t>139270</t>
  </si>
  <si>
    <t>292340</t>
  </si>
  <si>
    <t>413220</t>
  </si>
  <si>
    <t>446700</t>
  </si>
  <si>
    <t>464930</t>
  </si>
  <si>
    <t>464060</t>
  </si>
  <si>
    <t>449170</t>
  </si>
  <si>
    <t>442580</t>
  </si>
  <si>
    <t>395150</t>
  </si>
  <si>
    <t>469050</t>
  </si>
  <si>
    <t>442260</t>
  </si>
  <si>
    <t>196230</t>
  </si>
  <si>
    <t>300610</t>
  </si>
  <si>
    <t>394670</t>
  </si>
  <si>
    <t>337150</t>
  </si>
  <si>
    <t>448330</t>
  </si>
  <si>
    <t>421320</t>
  </si>
  <si>
    <t>394350</t>
  </si>
  <si>
    <t>245710</t>
  </si>
  <si>
    <t>457480</t>
  </si>
  <si>
    <t>229200</t>
  </si>
  <si>
    <t>460960</t>
  </si>
  <si>
    <t>462340</t>
  </si>
  <si>
    <t>454180</t>
  </si>
  <si>
    <t>436140</t>
  </si>
  <si>
    <t>145850</t>
  </si>
  <si>
    <t>273140</t>
  </si>
  <si>
    <t>192720</t>
  </si>
  <si>
    <t>458760</t>
  </si>
  <si>
    <t>391590</t>
  </si>
  <si>
    <t>427120</t>
  </si>
  <si>
    <t>294400</t>
  </si>
  <si>
    <t>281990</t>
  </si>
  <si>
    <t>390400</t>
  </si>
  <si>
    <t>228800</t>
  </si>
  <si>
    <t>105190</t>
  </si>
  <si>
    <t>442570</t>
  </si>
  <si>
    <t>157450</t>
  </si>
  <si>
    <t>278530</t>
  </si>
  <si>
    <t>148020</t>
  </si>
  <si>
    <t>457990</t>
  </si>
  <si>
    <t>332940</t>
  </si>
  <si>
    <t>357870</t>
  </si>
  <si>
    <t>463050</t>
  </si>
  <si>
    <t>409810</t>
  </si>
  <si>
    <t>428560</t>
  </si>
  <si>
    <t>271050</t>
  </si>
  <si>
    <t>444490</t>
  </si>
  <si>
    <t>464310</t>
  </si>
  <si>
    <t>304670</t>
  </si>
  <si>
    <t>465350</t>
  </si>
  <si>
    <t>225050</t>
  </si>
  <si>
    <t>104530</t>
  </si>
  <si>
    <t>333960</t>
  </si>
  <si>
    <t>314700</t>
  </si>
  <si>
    <t>354240</t>
  </si>
  <si>
    <t>465610</t>
  </si>
  <si>
    <t>397420</t>
  </si>
  <si>
    <t>364960</t>
  </si>
  <si>
    <t>391670</t>
  </si>
  <si>
    <t>463250</t>
  </si>
  <si>
    <t>275980</t>
  </si>
  <si>
    <t>287300</t>
  </si>
  <si>
    <t>287320</t>
  </si>
  <si>
    <t>252730</t>
  </si>
  <si>
    <t>279540</t>
  </si>
  <si>
    <t>364690</t>
  </si>
  <si>
    <t>373530</t>
  </si>
  <si>
    <t>396510</t>
  </si>
  <si>
    <t>469830</t>
  </si>
  <si>
    <t>450910</t>
  </si>
  <si>
    <t>448290</t>
  </si>
  <si>
    <t>108450</t>
  </si>
  <si>
    <t>238720</t>
  </si>
  <si>
    <t>122090</t>
  </si>
  <si>
    <t>446720</t>
  </si>
  <si>
    <t>368190</t>
  </si>
  <si>
    <t>352560</t>
  </si>
  <si>
    <t>322130</t>
  </si>
  <si>
    <t>451670</t>
  </si>
  <si>
    <t>140700</t>
  </si>
  <si>
    <t>285020</t>
  </si>
  <si>
    <t>451150</t>
  </si>
  <si>
    <t>452360</t>
  </si>
  <si>
    <t>388420</t>
  </si>
  <si>
    <t>291630</t>
  </si>
  <si>
    <t>310080</t>
  </si>
  <si>
    <t>182480</t>
  </si>
  <si>
    <t>472350</t>
  </si>
  <si>
    <t>396500</t>
  </si>
  <si>
    <t>387280</t>
  </si>
  <si>
    <t>402520</t>
  </si>
  <si>
    <t>168580</t>
  </si>
  <si>
    <t>272910</t>
  </si>
  <si>
    <t>395290</t>
  </si>
  <si>
    <t>252410</t>
  </si>
  <si>
    <t>437550</t>
  </si>
  <si>
    <t>252400</t>
  </si>
  <si>
    <t>334690</t>
  </si>
  <si>
    <t>269370</t>
  </si>
  <si>
    <t>203780</t>
  </si>
  <si>
    <t>251600</t>
  </si>
  <si>
    <t>407160</t>
  </si>
  <si>
    <t>295000</t>
  </si>
  <si>
    <t>395170</t>
  </si>
  <si>
    <t>461490</t>
  </si>
  <si>
    <t>434060</t>
  </si>
  <si>
    <t>233740</t>
  </si>
  <si>
    <t>468820</t>
  </si>
  <si>
    <t>426150</t>
  </si>
  <si>
    <t>256440</t>
  </si>
  <si>
    <t>332500</t>
  </si>
  <si>
    <t>470320</t>
  </si>
  <si>
    <t>284430</t>
  </si>
  <si>
    <t>143860</t>
  </si>
  <si>
    <t>445690</t>
  </si>
  <si>
    <t>462540</t>
  </si>
  <si>
    <t>448490</t>
  </si>
  <si>
    <t>195980</t>
  </si>
  <si>
    <t>248270</t>
  </si>
  <si>
    <t>447430</t>
  </si>
  <si>
    <t>407170</t>
  </si>
  <si>
    <t>466810</t>
  </si>
  <si>
    <t>456880</t>
  </si>
  <si>
    <t>136340</t>
  </si>
  <si>
    <t>301410</t>
  </si>
  <si>
    <t>448540</t>
  </si>
  <si>
    <t>472160</t>
  </si>
  <si>
    <t>261110</t>
  </si>
  <si>
    <t>278240</t>
  </si>
  <si>
    <t>447770</t>
  </si>
  <si>
    <t>252650</t>
  </si>
  <si>
    <t>433860</t>
  </si>
  <si>
    <t>192090</t>
  </si>
  <si>
    <t>277640</t>
  </si>
  <si>
    <t>250780</t>
  </si>
  <si>
    <t>395160</t>
  </si>
  <si>
    <t>277540</t>
  </si>
  <si>
    <t>308620</t>
  </si>
  <si>
    <t>445910</t>
  </si>
  <si>
    <t>161510</t>
  </si>
  <si>
    <t>305080</t>
  </si>
  <si>
    <t>195920</t>
  </si>
  <si>
    <t>400590</t>
  </si>
  <si>
    <t>423920</t>
  </si>
  <si>
    <t>301400</t>
  </si>
  <si>
    <t>401170</t>
  </si>
  <si>
    <t>442550</t>
  </si>
  <si>
    <t>183710</t>
  </si>
  <si>
    <t>413930</t>
  </si>
  <si>
    <t>354500</t>
  </si>
  <si>
    <t>457930</t>
  </si>
  <si>
    <t>433970</t>
  </si>
  <si>
    <t>304940</t>
  </si>
  <si>
    <t>427110</t>
  </si>
  <si>
    <t>449580</t>
  </si>
  <si>
    <t>412570</t>
  </si>
  <si>
    <t>204480</t>
  </si>
  <si>
    <t>368200</t>
  </si>
  <si>
    <t>448510</t>
  </si>
  <si>
    <t>468630</t>
  </si>
  <si>
    <t>300640</t>
  </si>
  <si>
    <t>453630</t>
  </si>
  <si>
    <t>251590</t>
  </si>
  <si>
    <t>411720</t>
  </si>
  <si>
    <t>466940</t>
  </si>
  <si>
    <t>448570</t>
  </si>
  <si>
    <t>261250</t>
  </si>
  <si>
    <t>407820</t>
  </si>
  <si>
    <t>435540</t>
  </si>
  <si>
    <t>419650</t>
  </si>
  <si>
    <t>399580</t>
  </si>
  <si>
    <t>167860</t>
  </si>
  <si>
    <t>152500</t>
  </si>
  <si>
    <t>292190</t>
  </si>
  <si>
    <t>139320</t>
  </si>
  <si>
    <t>469150</t>
  </si>
  <si>
    <t>471780</t>
  </si>
  <si>
    <t>411540</t>
  </si>
  <si>
    <t>461910</t>
  </si>
  <si>
    <t>411860</t>
  </si>
  <si>
    <t>449540</t>
  </si>
  <si>
    <t>445150</t>
  </si>
  <si>
    <t>419430</t>
  </si>
  <si>
    <t>326230</t>
  </si>
  <si>
    <t>292160</t>
  </si>
  <si>
    <t>108590</t>
  </si>
  <si>
    <t>289670</t>
  </si>
  <si>
    <t>252710</t>
  </si>
  <si>
    <t>329750</t>
  </si>
  <si>
    <t>219480</t>
  </si>
  <si>
    <t>304760</t>
  </si>
  <si>
    <t>449450</t>
  </si>
  <si>
    <t>227570</t>
  </si>
  <si>
    <t>468380</t>
  </si>
  <si>
    <t>132030</t>
  </si>
  <si>
    <t>418670</t>
  </si>
  <si>
    <t>276650</t>
  </si>
  <si>
    <t>456100</t>
  </si>
  <si>
    <t>459790</t>
  </si>
  <si>
    <t>449180</t>
  </si>
  <si>
    <t>371460</t>
  </si>
  <si>
    <t>423170</t>
  </si>
  <si>
    <t>219390</t>
  </si>
  <si>
    <t>299070</t>
  </si>
  <si>
    <t>211560</t>
  </si>
  <si>
    <t>365000</t>
  </si>
  <si>
    <t>440340</t>
  </si>
  <si>
    <t>322410</t>
  </si>
  <si>
    <t>091160</t>
  </si>
  <si>
    <t>439860</t>
  </si>
  <si>
    <t>449190</t>
  </si>
  <si>
    <t>404650</t>
  </si>
  <si>
    <t>315960</t>
  </si>
  <si>
    <t>458210</t>
  </si>
  <si>
    <t>360750</t>
  </si>
  <si>
    <t>185680</t>
  </si>
  <si>
    <t>306950</t>
  </si>
  <si>
    <t>453640</t>
  </si>
  <si>
    <t>409820</t>
  </si>
  <si>
    <t>293180</t>
  </si>
  <si>
    <t>446770</t>
  </si>
  <si>
    <t>289480</t>
  </si>
  <si>
    <t>373790</t>
  </si>
  <si>
    <t>455860</t>
  </si>
  <si>
    <t>461900</t>
  </si>
  <si>
    <t>395280</t>
  </si>
  <si>
    <t>416090</t>
  </si>
  <si>
    <t>228790</t>
  </si>
  <si>
    <t>332610</t>
  </si>
  <si>
    <t>099140</t>
  </si>
  <si>
    <t>461580</t>
  </si>
  <si>
    <t>469070</t>
  </si>
  <si>
    <t>453330</t>
  </si>
  <si>
    <t>385600</t>
  </si>
  <si>
    <t>455960</t>
  </si>
  <si>
    <t>455030</t>
  </si>
  <si>
    <t>152870</t>
  </si>
  <si>
    <t>448600</t>
  </si>
  <si>
    <t>269540</t>
  </si>
  <si>
    <t>225030</t>
  </si>
  <si>
    <t>456200</t>
  </si>
  <si>
    <t>352540</t>
  </si>
  <si>
    <t>275750</t>
  </si>
  <si>
    <t>319640</t>
  </si>
  <si>
    <t>225800</t>
  </si>
  <si>
    <t>131890</t>
  </si>
  <si>
    <t>440650</t>
  </si>
  <si>
    <t>372330</t>
  </si>
  <si>
    <t>367760</t>
  </si>
  <si>
    <t>305720</t>
  </si>
  <si>
    <t>152100</t>
  </si>
  <si>
    <t>157490</t>
  </si>
  <si>
    <t>464610</t>
  </si>
  <si>
    <t>464540</t>
  </si>
  <si>
    <t>385560</t>
  </si>
  <si>
    <t>315480</t>
  </si>
  <si>
    <t>461450</t>
  </si>
  <si>
    <t>182490</t>
  </si>
  <si>
    <t>331910</t>
  </si>
  <si>
    <t>273130</t>
  </si>
  <si>
    <t>375770</t>
  </si>
  <si>
    <t>102960</t>
  </si>
  <si>
    <t>463680</t>
  </si>
  <si>
    <t>391600</t>
  </si>
  <si>
    <t>285690</t>
  </si>
  <si>
    <t>337120</t>
  </si>
  <si>
    <t>130730</t>
  </si>
  <si>
    <t>449690</t>
  </si>
  <si>
    <t>302450</t>
  </si>
  <si>
    <t>456250</t>
  </si>
  <si>
    <t>270810</t>
  </si>
  <si>
    <t>418660</t>
  </si>
  <si>
    <t>117700</t>
  </si>
  <si>
    <t>272570</t>
  </si>
  <si>
    <t>230480</t>
  </si>
  <si>
    <t>244580</t>
  </si>
  <si>
    <t>305540</t>
  </si>
  <si>
    <t>411050</t>
  </si>
  <si>
    <t>361580</t>
  </si>
  <si>
    <t>276000</t>
  </si>
  <si>
    <t>232080</t>
  </si>
  <si>
    <t>329670</t>
  </si>
  <si>
    <t>465780</t>
  </si>
  <si>
    <t>261070</t>
  </si>
  <si>
    <t>228820</t>
  </si>
  <si>
    <t>463290</t>
  </si>
  <si>
    <t>298340</t>
  </si>
  <si>
    <t>429990</t>
  </si>
  <si>
    <t>117690</t>
  </si>
  <si>
    <t>278540</t>
  </si>
  <si>
    <t>471460</t>
  </si>
  <si>
    <t>226380</t>
  </si>
  <si>
    <t>102110</t>
  </si>
  <si>
    <t>462010</t>
  </si>
  <si>
    <t>276990</t>
  </si>
  <si>
    <t>139230</t>
  </si>
  <si>
    <t>256450</t>
  </si>
  <si>
    <t>306530</t>
  </si>
  <si>
    <t>250730</t>
  </si>
  <si>
    <t>388280</t>
  </si>
  <si>
    <t>214980</t>
  </si>
  <si>
    <t>356540</t>
  </si>
  <si>
    <t>385720</t>
  </si>
  <si>
    <t>238670</t>
  </si>
  <si>
    <t>458250</t>
  </si>
  <si>
    <t>326240</t>
  </si>
  <si>
    <t>304770</t>
  </si>
  <si>
    <t>272560</t>
  </si>
  <si>
    <t>275280</t>
  </si>
  <si>
    <t>453080</t>
  </si>
  <si>
    <t>426410</t>
  </si>
  <si>
    <t>278620</t>
  </si>
  <si>
    <t>148070</t>
  </si>
  <si>
    <t>447820</t>
  </si>
  <si>
    <t>439870</t>
  </si>
  <si>
    <t>229720</t>
  </si>
  <si>
    <t>114800</t>
  </si>
  <si>
    <t>287180</t>
  </si>
  <si>
    <t>435040</t>
  </si>
  <si>
    <t>321410</t>
  </si>
  <si>
    <t>397410</t>
  </si>
  <si>
    <t>272580</t>
  </si>
  <si>
    <t>337140</t>
  </si>
  <si>
    <t>459370</t>
  </si>
  <si>
    <t>373490</t>
  </si>
  <si>
    <t>227550</t>
  </si>
  <si>
    <t>438100</t>
  </si>
  <si>
    <t>139220</t>
  </si>
  <si>
    <t>332930</t>
  </si>
  <si>
    <t>461260</t>
  </si>
  <si>
    <t>091220</t>
  </si>
  <si>
    <t>329660</t>
  </si>
  <si>
    <t>464600</t>
  </si>
  <si>
    <t>091170</t>
  </si>
  <si>
    <t>453660</t>
  </si>
  <si>
    <t>360150</t>
  </si>
  <si>
    <t>117680</t>
  </si>
  <si>
    <t>456600</t>
  </si>
  <si>
    <t>101280</t>
  </si>
  <si>
    <t>291680</t>
  </si>
  <si>
    <t>371870</t>
  </si>
  <si>
    <t>223190</t>
  </si>
  <si>
    <t>402970</t>
  </si>
  <si>
    <t>454780</t>
  </si>
  <si>
    <t>237350</t>
  </si>
  <si>
    <t>423160</t>
  </si>
  <si>
    <t>429870</t>
  </si>
  <si>
    <t>354350</t>
  </si>
  <si>
    <t>139250</t>
  </si>
  <si>
    <t>261060</t>
  </si>
  <si>
    <t>243890</t>
  </si>
  <si>
    <t>412770</t>
  </si>
  <si>
    <t>367770</t>
  </si>
  <si>
    <t>210780</t>
  </si>
  <si>
    <t>469170</t>
  </si>
  <si>
    <t>337160</t>
  </si>
  <si>
    <t>411060</t>
  </si>
  <si>
    <t>280320</t>
  </si>
  <si>
    <t>166400</t>
  </si>
  <si>
    <t>267440</t>
  </si>
  <si>
    <t>364980</t>
  </si>
  <si>
    <t>241180</t>
  </si>
  <si>
    <t>457700</t>
  </si>
  <si>
    <t>306520</t>
  </si>
  <si>
    <t>453950</t>
  </si>
  <si>
    <t>140570</t>
  </si>
  <si>
    <t>371160</t>
  </si>
  <si>
    <t>144600</t>
  </si>
  <si>
    <t>253290</t>
  </si>
  <si>
    <t>438560</t>
  </si>
  <si>
    <t>448100</t>
  </si>
  <si>
    <t>385710</t>
  </si>
  <si>
    <t>467620</t>
  </si>
  <si>
    <t>442090</t>
  </si>
  <si>
    <t>225040</t>
  </si>
  <si>
    <t>325020</t>
  </si>
  <si>
    <t>280920</t>
  </si>
  <si>
    <t>245340</t>
  </si>
  <si>
    <t>139310</t>
  </si>
  <si>
    <t>449680</t>
  </si>
  <si>
    <t>304780</t>
  </si>
  <si>
    <t>157500</t>
  </si>
  <si>
    <t>449770</t>
  </si>
  <si>
    <t>104520</t>
  </si>
  <si>
    <t>304660</t>
  </si>
  <si>
    <t>267490</t>
  </si>
  <si>
    <t>211900</t>
  </si>
  <si>
    <t>414780</t>
  </si>
  <si>
    <t>426020</t>
  </si>
  <si>
    <t>319870</t>
  </si>
  <si>
    <t>332620</t>
  </si>
  <si>
    <t>451540</t>
  </si>
  <si>
    <t>139660</t>
  </si>
  <si>
    <t>461500</t>
  </si>
  <si>
    <t>453870</t>
  </si>
  <si>
    <t>277630</t>
  </si>
  <si>
    <t>456610</t>
  </si>
  <si>
    <t>314250</t>
  </si>
  <si>
    <t>422260</t>
  </si>
  <si>
    <t>469160</t>
  </si>
  <si>
    <t>091230</t>
  </si>
  <si>
    <t>402460</t>
  </si>
  <si>
    <t>379810</t>
  </si>
  <si>
    <t>441330</t>
  </si>
  <si>
    <t>438740</t>
  </si>
  <si>
    <t>219900</t>
  </si>
  <si>
    <t>205720</t>
  </si>
  <si>
    <t>448870</t>
  </si>
  <si>
    <t>298770</t>
  </si>
  <si>
    <t>266420</t>
  </si>
  <si>
    <t>251340</t>
  </si>
  <si>
    <t>469580</t>
  </si>
  <si>
    <t>261240</t>
  </si>
  <si>
    <t>368680</t>
  </si>
  <si>
    <t>305050</t>
  </si>
  <si>
    <t>453820</t>
  </si>
  <si>
    <t>460280</t>
  </si>
  <si>
    <t>417630</t>
  </si>
  <si>
    <t>465580</t>
  </si>
  <si>
    <t>316300</t>
  </si>
  <si>
    <t>458260</t>
  </si>
  <si>
    <t>346000</t>
  </si>
  <si>
    <t>438570</t>
  </si>
  <si>
    <t>147970</t>
  </si>
  <si>
    <t>275290</t>
  </si>
  <si>
    <t>399110</t>
  </si>
  <si>
    <t>329650</t>
  </si>
  <si>
    <t>471990</t>
  </si>
  <si>
    <t>458030</t>
  </si>
  <si>
    <t>100910</t>
  </si>
  <si>
    <t>462330</t>
  </si>
  <si>
    <t>463300</t>
  </si>
  <si>
    <t>253250</t>
  </si>
  <si>
    <t>400570</t>
  </si>
  <si>
    <t>426030</t>
  </si>
  <si>
    <t>451000</t>
  </si>
  <si>
    <t>464470</t>
  </si>
  <si>
    <t>138540</t>
  </si>
  <si>
    <t>460660</t>
  </si>
  <si>
    <t>437350</t>
  </si>
  <si>
    <t>379780</t>
  </si>
  <si>
    <t>266360</t>
  </si>
  <si>
    <t>387270</t>
  </si>
  <si>
    <t>253160</t>
  </si>
  <si>
    <t>371130</t>
  </si>
  <si>
    <t>364990</t>
  </si>
  <si>
    <t>261270</t>
  </si>
  <si>
    <t>252720</t>
  </si>
  <si>
    <t>226490</t>
  </si>
  <si>
    <t>098560</t>
  </si>
  <si>
    <t>299080</t>
  </si>
  <si>
    <t>432850</t>
  </si>
  <si>
    <t>138530</t>
  </si>
  <si>
    <t>460270</t>
  </si>
  <si>
    <t>385590</t>
  </si>
  <si>
    <t>468370</t>
  </si>
  <si>
    <t>414270</t>
  </si>
  <si>
    <t>333970</t>
  </si>
  <si>
    <t>069500</t>
  </si>
  <si>
    <t>267450</t>
  </si>
  <si>
    <t>105010</t>
  </si>
  <si>
    <t>465670</t>
  </si>
  <si>
    <t>390390</t>
  </si>
  <si>
    <t>227540</t>
  </si>
  <si>
    <t>442320</t>
  </si>
  <si>
    <t>292050</t>
  </si>
  <si>
    <t>429740</t>
  </si>
  <si>
    <t>471040</t>
  </si>
  <si>
    <t>371150</t>
  </si>
  <si>
    <t>394660</t>
  </si>
  <si>
    <t>292770</t>
  </si>
  <si>
    <t>461950</t>
  </si>
  <si>
    <t>280930</t>
  </si>
  <si>
    <t>381170</t>
  </si>
  <si>
    <t>360140</t>
  </si>
  <si>
    <t>462900</t>
  </si>
  <si>
    <t>464240</t>
  </si>
  <si>
    <t>458730</t>
  </si>
  <si>
    <t>143460</t>
  </si>
  <si>
    <t>379790</t>
  </si>
  <si>
    <t>138230</t>
  </si>
  <si>
    <t>450180</t>
  </si>
  <si>
    <t>272230</t>
  </si>
  <si>
    <t>451530</t>
  </si>
  <si>
    <t>471230</t>
  </si>
  <si>
    <t>415920</t>
  </si>
  <si>
    <t>471290</t>
  </si>
  <si>
    <t>455660</t>
  </si>
  <si>
    <t>290130</t>
  </si>
  <si>
    <t>467940</t>
  </si>
  <si>
    <t>407830</t>
  </si>
  <si>
    <t>438900</t>
  </si>
  <si>
    <t>436180</t>
  </si>
  <si>
    <t>367380</t>
  </si>
  <si>
    <t>284990</t>
  </si>
  <si>
    <t>432840</t>
  </si>
  <si>
    <t>472150</t>
  </si>
  <si>
    <t>139290</t>
  </si>
  <si>
    <t>225060</t>
  </si>
  <si>
    <t>287310</t>
  </si>
  <si>
    <t>139240</t>
  </si>
  <si>
    <t>069660</t>
  </si>
  <si>
    <t>453530</t>
  </si>
  <si>
    <t>123310</t>
  </si>
  <si>
    <t>371450</t>
  </si>
  <si>
    <t>450190</t>
  </si>
  <si>
    <t>233160</t>
  </si>
  <si>
    <t>459750</t>
  </si>
  <si>
    <t>204450</t>
  </si>
  <si>
    <t>363570</t>
  </si>
  <si>
    <t>452440</t>
  </si>
  <si>
    <t>275300</t>
  </si>
  <si>
    <t>440910</t>
  </si>
  <si>
    <t>143850</t>
  </si>
  <si>
    <t>244660</t>
  </si>
  <si>
    <t>196030</t>
  </si>
  <si>
    <t>441680</t>
  </si>
  <si>
    <t>461340</t>
  </si>
  <si>
    <t>307520</t>
  </si>
  <si>
    <t>448880</t>
  </si>
  <si>
    <t>434960</t>
  </si>
  <si>
    <t>381180</t>
  </si>
  <si>
    <t>464230</t>
  </si>
  <si>
    <t>195970</t>
  </si>
  <si>
    <t>138520</t>
  </si>
  <si>
    <t>315930</t>
  </si>
  <si>
    <t>466930</t>
  </si>
  <si>
    <t>243880</t>
  </si>
  <si>
    <t>237440</t>
  </si>
  <si>
    <t>385510</t>
  </si>
  <si>
    <t>114460</t>
  </si>
  <si>
    <t>447620</t>
  </si>
  <si>
    <t>381560</t>
  </si>
  <si>
    <t>455890</t>
  </si>
  <si>
    <t>153130</t>
  </si>
  <si>
    <t>453850</t>
  </si>
  <si>
    <t>385540</t>
  </si>
  <si>
    <t>245350</t>
  </si>
  <si>
    <t>266160</t>
  </si>
  <si>
    <t>375270</t>
  </si>
  <si>
    <t>395750</t>
  </si>
  <si>
    <t>309230</t>
  </si>
  <si>
    <t>472920</t>
  </si>
  <si>
    <t>252000</t>
  </si>
  <si>
    <t>277650</t>
  </si>
  <si>
    <t>322120</t>
  </si>
  <si>
    <t>333980</t>
  </si>
  <si>
    <t>300950</t>
  </si>
  <si>
    <t>429000</t>
  </si>
  <si>
    <t>363510</t>
  </si>
  <si>
    <t>285000</t>
  </si>
  <si>
    <t>169950</t>
  </si>
  <si>
    <t>400970</t>
  </si>
  <si>
    <t>445950</t>
  </si>
  <si>
    <t>291620</t>
  </si>
  <si>
    <t>282000</t>
  </si>
  <si>
    <t>461460</t>
  </si>
  <si>
    <t>454320</t>
  </si>
  <si>
    <t>156080</t>
  </si>
  <si>
    <t>234310</t>
  </si>
  <si>
    <t>266390</t>
  </si>
  <si>
    <t>473290</t>
  </si>
  <si>
    <t>465660</t>
  </si>
  <si>
    <t>465330</t>
  </si>
  <si>
    <t>426330</t>
  </si>
  <si>
    <t>448630</t>
  </si>
  <si>
    <t>430500</t>
  </si>
  <si>
    <t>403790</t>
  </si>
  <si>
    <t>444200</t>
  </si>
  <si>
    <t>291890</t>
  </si>
  <si>
    <t>252670</t>
  </si>
  <si>
    <t>140950</t>
  </si>
  <si>
    <t>472720</t>
  </si>
  <si>
    <t>트러스톤자산운용(주)</t>
  </si>
  <si>
    <t>295020</t>
  </si>
  <si>
    <t>200030</t>
  </si>
  <si>
    <t>253240</t>
  </si>
  <si>
    <t>450120</t>
  </si>
  <si>
    <t>445290</t>
  </si>
  <si>
    <t>446690</t>
  </si>
  <si>
    <t>359210</t>
  </si>
  <si>
    <t>265690</t>
  </si>
  <si>
    <t>269530</t>
  </si>
  <si>
    <t>341850</t>
  </si>
  <si>
    <t>419890</t>
  </si>
  <si>
    <t>410870</t>
  </si>
  <si>
    <t>461270</t>
  </si>
  <si>
    <t>295040</t>
  </si>
  <si>
    <t>461600</t>
  </si>
  <si>
    <t>145670</t>
  </si>
  <si>
    <t>433250</t>
  </si>
  <si>
    <t>292500</t>
  </si>
  <si>
    <t>437370</t>
  </si>
  <si>
    <t>442560</t>
  </si>
  <si>
    <t>123320</t>
  </si>
  <si>
    <t>307510</t>
  </si>
  <si>
    <t>438330</t>
  </si>
  <si>
    <t>102970</t>
  </si>
  <si>
    <t>411420</t>
  </si>
  <si>
    <t>390950</t>
  </si>
  <si>
    <t>105780</t>
  </si>
  <si>
    <t>225130</t>
  </si>
  <si>
    <t>433500</t>
  </si>
  <si>
    <t>469530</t>
  </si>
  <si>
    <t>472490</t>
  </si>
  <si>
    <t>183700</t>
  </si>
  <si>
    <t>270800</t>
  </si>
  <si>
    <t>380340</t>
  </si>
  <si>
    <t>322400</t>
  </si>
  <si>
    <t>322150</t>
  </si>
  <si>
    <t>251350</t>
  </si>
  <si>
    <t>360200</t>
  </si>
  <si>
    <t>433220</t>
  </si>
  <si>
    <t>452250</t>
  </si>
  <si>
    <t>159800</t>
  </si>
  <si>
    <t>227560</t>
  </si>
  <si>
    <t>244670</t>
  </si>
  <si>
    <t>453010</t>
  </si>
  <si>
    <t>441540</t>
  </si>
  <si>
    <t>453540</t>
  </si>
  <si>
    <t>285010</t>
  </si>
  <si>
    <t>102780</t>
  </si>
  <si>
    <t>227830</t>
  </si>
  <si>
    <t>469060</t>
  </si>
  <si>
    <t>114260</t>
  </si>
  <si>
    <t>261140</t>
  </si>
  <si>
    <t>453650</t>
  </si>
  <si>
    <t>122630</t>
  </si>
  <si>
    <t>190620</t>
  </si>
  <si>
    <t>266550</t>
  </si>
  <si>
    <t>457690</t>
  </si>
  <si>
    <t>272220</t>
  </si>
  <si>
    <t>469820</t>
  </si>
  <si>
    <t>364970</t>
  </si>
  <si>
    <t>287330</t>
  </si>
  <si>
    <t>437080</t>
  </si>
  <si>
    <t>316670</t>
  </si>
  <si>
    <t>415760</t>
  </si>
  <si>
    <t>467540</t>
  </si>
  <si>
    <t>295820</t>
  </si>
  <si>
    <t>152380</t>
  </si>
  <si>
    <t>412560</t>
  </si>
  <si>
    <t>267500</t>
  </si>
  <si>
    <t>137610</t>
  </si>
  <si>
    <t>375760</t>
  </si>
  <si>
    <t>200250</t>
  </si>
  <si>
    <t>279530</t>
  </si>
  <si>
    <t>266370</t>
  </si>
  <si>
    <t>433850</t>
  </si>
  <si>
    <t>114470</t>
  </si>
  <si>
    <t>365780</t>
  </si>
  <si>
    <t>449780</t>
  </si>
  <si>
    <t>403990</t>
  </si>
  <si>
    <t>174360</t>
  </si>
  <si>
    <t>292730</t>
  </si>
  <si>
    <t>117460</t>
  </si>
  <si>
    <t>455850</t>
  </si>
  <si>
    <t>328370</t>
  </si>
  <si>
    <t>440640</t>
  </si>
  <si>
    <t>253150</t>
  </si>
  <si>
    <t>315270</t>
  </si>
  <si>
    <t>396520</t>
  </si>
  <si>
    <t>429980</t>
  </si>
  <si>
    <t>391680</t>
  </si>
  <si>
    <t>date_from</t>
    <phoneticPr fontId="1" type="noConversion"/>
  </si>
  <si>
    <t>date_upto</t>
    <phoneticPr fontId="1" type="noConversion"/>
  </si>
  <si>
    <t>freq</t>
    <phoneticPr fontId="1" type="noConversion"/>
  </si>
  <si>
    <t>output_file_name</t>
    <phoneticPr fontId="1" type="noConversion"/>
  </si>
  <si>
    <t>base_info_file</t>
    <phoneticPr fontId="1" type="noConversion"/>
  </si>
  <si>
    <t>top_list_number</t>
    <phoneticPr fontId="1" type="noConversion"/>
  </si>
  <si>
    <t>name_match_file</t>
    <phoneticPr fontId="1" type="noConversion"/>
  </si>
  <si>
    <t>price-index</t>
  </si>
  <si>
    <t>tick_size</t>
    <phoneticPr fontId="1" type="noConversion"/>
  </si>
  <si>
    <t>my_expected_trade_portion</t>
    <phoneticPr fontId="1" type="noConversion"/>
  </si>
  <si>
    <t>448310</t>
  </si>
  <si>
    <t>448320</t>
  </si>
  <si>
    <t>rank</t>
  </si>
  <si>
    <t>trade unit (백만)</t>
  </si>
  <si>
    <t>trade amount (억)</t>
  </si>
  <si>
    <t>expected pnl (백만)</t>
  </si>
  <si>
    <t>TradeAnalysisConfig</t>
    <phoneticPr fontId="1" type="noConversion"/>
  </si>
  <si>
    <t>market</t>
    <phoneticPr fontId="1" type="noConversion"/>
  </si>
  <si>
    <t>EF</t>
  </si>
  <si>
    <t>rank</t>
    <phoneticPr fontId="1" type="noConversion"/>
  </si>
  <si>
    <t>volume</t>
  </si>
  <si>
    <t>date</t>
    <phoneticPr fontId="1" type="noConversion"/>
  </si>
  <si>
    <t>(range: RankConfig)</t>
    <phoneticPr fontId="1" type="noConversion"/>
  </si>
  <si>
    <t>type</t>
    <phoneticPr fontId="1" type="noConversion"/>
  </si>
  <si>
    <t>isin</t>
    <phoneticPr fontId="1" type="noConversion"/>
  </si>
  <si>
    <t>code</t>
    <phoneticPr fontId="1" type="noConversion"/>
  </si>
  <si>
    <t>kr_name</t>
    <phoneticPr fontId="1" type="noConversion"/>
  </si>
  <si>
    <t>equity_type</t>
    <phoneticPr fontId="1" type="noConversion"/>
  </si>
  <si>
    <t>open_price</t>
    <phoneticPr fontId="1" type="noConversion"/>
  </si>
  <si>
    <t>high_price</t>
    <phoneticPr fontId="1" type="noConversion"/>
  </si>
  <si>
    <t>low_price</t>
    <phoneticPr fontId="1" type="noConversion"/>
  </si>
  <si>
    <t>close_price</t>
    <phoneticPr fontId="1" type="noConversion"/>
  </si>
  <si>
    <t>change</t>
    <phoneticPr fontId="1" type="noConversion"/>
  </si>
  <si>
    <t>change_rate</t>
    <phoneticPr fontId="1" type="noConversion"/>
  </si>
  <si>
    <t>trading_volume</t>
    <phoneticPr fontId="1" type="noConversion"/>
  </si>
  <si>
    <t>trading_value</t>
    <phoneticPr fontId="1" type="noConversion"/>
  </si>
  <si>
    <t>marketcap</t>
    <phoneticPr fontId="1" type="noConversion"/>
  </si>
  <si>
    <t>KR7252670005</t>
    <phoneticPr fontId="1" type="noConversion"/>
  </si>
  <si>
    <t>252670</t>
    <phoneticPr fontId="1" type="noConversion"/>
  </si>
  <si>
    <t>KODEX 200선물인버스2X</t>
    <phoneticPr fontId="1" type="noConversion"/>
  </si>
  <si>
    <t>거래소(코스피)</t>
    <phoneticPr fontId="1" type="noConversion"/>
  </si>
  <si>
    <t>상장지수펀트(ETF)</t>
    <phoneticPr fontId="1" type="noConversion"/>
  </si>
  <si>
    <t>KR7251340006</t>
    <phoneticPr fontId="1" type="noConversion"/>
  </si>
  <si>
    <t>251340</t>
    <phoneticPr fontId="1" type="noConversion"/>
  </si>
  <si>
    <t>KODEX 코스닥150선물인버스</t>
    <phoneticPr fontId="1" type="noConversion"/>
  </si>
  <si>
    <t>KR7233740000</t>
    <phoneticPr fontId="1" type="noConversion"/>
  </si>
  <si>
    <t>233740</t>
    <phoneticPr fontId="1" type="noConversion"/>
  </si>
  <si>
    <t>KODEX 코스닥150레버리지</t>
    <phoneticPr fontId="1" type="noConversion"/>
  </si>
  <si>
    <t>KR7122630007</t>
    <phoneticPr fontId="1" type="noConversion"/>
  </si>
  <si>
    <t>122630</t>
    <phoneticPr fontId="1" type="noConversion"/>
  </si>
  <si>
    <t>KODEX 레버리지</t>
    <phoneticPr fontId="1" type="noConversion"/>
  </si>
  <si>
    <t>KR7114800006</t>
    <phoneticPr fontId="1" type="noConversion"/>
  </si>
  <si>
    <t>114800</t>
    <phoneticPr fontId="1" type="noConversion"/>
  </si>
  <si>
    <t>KODEX 인버스</t>
    <phoneticPr fontId="1" type="noConversion"/>
  </si>
  <si>
    <t>KR7294400007</t>
    <phoneticPr fontId="1" type="noConversion"/>
  </si>
  <si>
    <t>294400</t>
    <phoneticPr fontId="1" type="noConversion"/>
  </si>
  <si>
    <t>KOSEF 200TR</t>
    <phoneticPr fontId="1" type="noConversion"/>
  </si>
  <si>
    <t>KR7229200001</t>
    <phoneticPr fontId="1" type="noConversion"/>
  </si>
  <si>
    <t>229200</t>
    <phoneticPr fontId="1" type="noConversion"/>
  </si>
  <si>
    <t>KODEX 코스닥150</t>
    <phoneticPr fontId="1" type="noConversion"/>
  </si>
  <si>
    <t>KR7069500007</t>
    <phoneticPr fontId="1" type="noConversion"/>
  </si>
  <si>
    <t>069500</t>
    <phoneticPr fontId="1" type="noConversion"/>
  </si>
  <si>
    <t>KODEX 200</t>
    <phoneticPr fontId="1" type="noConversion"/>
  </si>
  <si>
    <t>KR7371460007</t>
    <phoneticPr fontId="1" type="noConversion"/>
  </si>
  <si>
    <t>371460</t>
    <phoneticPr fontId="1" type="noConversion"/>
  </si>
  <si>
    <t>TIGER 차이나전기차SOLACTIVE</t>
    <phoneticPr fontId="1" type="noConversion"/>
  </si>
  <si>
    <t>KR7462010000</t>
    <phoneticPr fontId="1" type="noConversion"/>
  </si>
  <si>
    <t>462010</t>
    <phoneticPr fontId="1" type="noConversion"/>
  </si>
  <si>
    <t>TIGER 2차전지소재Fn</t>
    <phoneticPr fontId="1" type="noConversion"/>
  </si>
  <si>
    <t>KR7462330002</t>
    <phoneticPr fontId="1" type="noConversion"/>
  </si>
  <si>
    <t>462330</t>
    <phoneticPr fontId="1" type="noConversion"/>
  </si>
  <si>
    <t>KODEX 2차전지산업레버리지</t>
    <phoneticPr fontId="1" type="noConversion"/>
  </si>
  <si>
    <t>KR7139250005</t>
    <phoneticPr fontId="1" type="noConversion"/>
  </si>
  <si>
    <t>139250</t>
    <phoneticPr fontId="1" type="noConversion"/>
  </si>
  <si>
    <t>TIGER 200 에너지화학</t>
    <phoneticPr fontId="1" type="noConversion"/>
  </si>
  <si>
    <t>KR7305720005</t>
    <phoneticPr fontId="1" type="noConversion"/>
  </si>
  <si>
    <t>305720</t>
    <phoneticPr fontId="1" type="noConversion"/>
  </si>
  <si>
    <t>KODEX 2차전지산업</t>
    <phoneticPr fontId="1" type="noConversion"/>
  </si>
  <si>
    <t>KR7465350007</t>
    <phoneticPr fontId="1" type="noConversion"/>
  </si>
  <si>
    <t>465350</t>
    <phoneticPr fontId="1" type="noConversion"/>
  </si>
  <si>
    <t>KBSTAR 2차전지TOP10인버스(합성)</t>
    <phoneticPr fontId="1" type="noConversion"/>
  </si>
  <si>
    <t>KR7252710009</t>
    <phoneticPr fontId="1" type="noConversion"/>
  </si>
  <si>
    <t>252710</t>
    <phoneticPr fontId="1" type="noConversion"/>
  </si>
  <si>
    <t>TIGER 200선물인버스2X</t>
    <phoneticPr fontId="1" type="noConversion"/>
  </si>
  <si>
    <t>KR7453850000</t>
    <phoneticPr fontId="1" type="noConversion"/>
  </si>
  <si>
    <t>453850</t>
    <phoneticPr fontId="1" type="noConversion"/>
  </si>
  <si>
    <t>ACE 미국30년국채액티브(H)</t>
    <phoneticPr fontId="1" type="noConversion"/>
  </si>
  <si>
    <t>KR7396500001</t>
    <phoneticPr fontId="1" type="noConversion"/>
  </si>
  <si>
    <t>396500</t>
    <phoneticPr fontId="1" type="noConversion"/>
  </si>
  <si>
    <t>TIGER Fn반도체TOP10</t>
    <phoneticPr fontId="1" type="noConversion"/>
  </si>
  <si>
    <t>KR7455850008</t>
    <phoneticPr fontId="1" type="noConversion"/>
  </si>
  <si>
    <t>455850</t>
    <phoneticPr fontId="1" type="noConversion"/>
  </si>
  <si>
    <t>SOL 반도체소부장Fn</t>
    <phoneticPr fontId="1" type="noConversion"/>
  </si>
  <si>
    <t>KR7371160003</t>
    <phoneticPr fontId="1" type="noConversion"/>
  </si>
  <si>
    <t>371160</t>
    <phoneticPr fontId="1" type="noConversion"/>
  </si>
  <si>
    <t>TIGER 차이나항셍테크</t>
    <phoneticPr fontId="1" type="noConversion"/>
  </si>
  <si>
    <t>KR7204450001</t>
    <phoneticPr fontId="1" type="noConversion"/>
  </si>
  <si>
    <t>204450</t>
    <phoneticPr fontId="1" type="noConversion"/>
  </si>
  <si>
    <t>KODEX 차이나H레버리지(H)</t>
    <phoneticPr fontId="1" type="noConversion"/>
  </si>
  <si>
    <t>KR7250780004</t>
    <phoneticPr fontId="1" type="noConversion"/>
  </si>
  <si>
    <t>250780</t>
    <phoneticPr fontId="1" type="noConversion"/>
  </si>
  <si>
    <t>TIGER 코스닥150선물인버스</t>
    <phoneticPr fontId="1" type="noConversion"/>
  </si>
  <si>
    <t>KR7422420000</t>
    <phoneticPr fontId="1" type="noConversion"/>
  </si>
  <si>
    <t>422420</t>
    <phoneticPr fontId="1" type="noConversion"/>
  </si>
  <si>
    <t>KBSTAR 2차전지액티브</t>
    <phoneticPr fontId="1" type="noConversion"/>
  </si>
  <si>
    <t>KR7381180009</t>
    <phoneticPr fontId="1" type="noConversion"/>
  </si>
  <si>
    <t>381180</t>
    <phoneticPr fontId="1" type="noConversion"/>
  </si>
  <si>
    <t>TIGER 미국필라델피아반도체나스닥</t>
    <phoneticPr fontId="1" type="noConversion"/>
  </si>
  <si>
    <t>KR7305540007</t>
    <phoneticPr fontId="1" type="noConversion"/>
  </si>
  <si>
    <t>305540</t>
    <phoneticPr fontId="1" type="noConversion"/>
  </si>
  <si>
    <t>TIGER 2차전지테마</t>
    <phoneticPr fontId="1" type="noConversion"/>
  </si>
  <si>
    <t>KR7471760009</t>
    <phoneticPr fontId="1" type="noConversion"/>
  </si>
  <si>
    <t>471760</t>
    <phoneticPr fontId="1" type="noConversion"/>
  </si>
  <si>
    <t>TIGER AI반도체핵심공정</t>
    <phoneticPr fontId="1" type="noConversion"/>
  </si>
  <si>
    <t>KR7461950008</t>
    <phoneticPr fontId="1" type="noConversion"/>
  </si>
  <si>
    <t>461950</t>
    <phoneticPr fontId="1" type="noConversion"/>
  </si>
  <si>
    <t>KODEX 2차전지핵심소재10 Fn</t>
    <phoneticPr fontId="1" type="noConversion"/>
  </si>
  <si>
    <t>KR7470310004</t>
    <phoneticPr fontId="1" type="noConversion"/>
  </si>
  <si>
    <t>470310</t>
    <phoneticPr fontId="1" type="noConversion"/>
  </si>
  <si>
    <t>UNICORN 생성형AI강소기업액티브</t>
    <phoneticPr fontId="1" type="noConversion"/>
  </si>
  <si>
    <t>KR7102110004</t>
    <phoneticPr fontId="1" type="noConversion"/>
  </si>
  <si>
    <t>102110</t>
    <phoneticPr fontId="1" type="noConversion"/>
  </si>
  <si>
    <t>TIGER 200</t>
    <phoneticPr fontId="1" type="noConversion"/>
  </si>
  <si>
    <t>KR7232080002</t>
    <phoneticPr fontId="1" type="noConversion"/>
  </si>
  <si>
    <t>232080</t>
    <phoneticPr fontId="1" type="noConversion"/>
  </si>
  <si>
    <t>TIGER 코스닥150</t>
    <phoneticPr fontId="1" type="noConversion"/>
  </si>
  <si>
    <t>KR7329200000</t>
    <phoneticPr fontId="1" type="noConversion"/>
  </si>
  <si>
    <t>329200</t>
    <phoneticPr fontId="1" type="noConversion"/>
  </si>
  <si>
    <t>TIGER 리츠부동산인프라</t>
    <phoneticPr fontId="1" type="noConversion"/>
  </si>
  <si>
    <t>KR7381170000</t>
    <phoneticPr fontId="1" type="noConversion"/>
  </si>
  <si>
    <t>381170</t>
    <phoneticPr fontId="1" type="noConversion"/>
  </si>
  <si>
    <t>TIGER 미국테크TOP10 INDXX</t>
    <phoneticPr fontId="1" type="noConversion"/>
  </si>
  <si>
    <t>KR7445290000</t>
    <phoneticPr fontId="1" type="noConversion"/>
  </si>
  <si>
    <t>445290</t>
    <phoneticPr fontId="1" type="noConversion"/>
  </si>
  <si>
    <t>KODEX K-로봇액티브</t>
    <phoneticPr fontId="1" type="noConversion"/>
  </si>
  <si>
    <t>KR7364980003</t>
    <phoneticPr fontId="1" type="noConversion"/>
  </si>
  <si>
    <t>364980</t>
    <phoneticPr fontId="1" type="noConversion"/>
  </si>
  <si>
    <t>TIGER 2차전지TOP10</t>
    <phoneticPr fontId="1" type="noConversion"/>
  </si>
  <si>
    <t>KR7360750004</t>
    <phoneticPr fontId="1" type="noConversion"/>
  </si>
  <si>
    <t>360750</t>
    <phoneticPr fontId="1" type="noConversion"/>
  </si>
  <si>
    <t>TIGER 미국S&amp;P500</t>
    <phoneticPr fontId="1" type="noConversion"/>
  </si>
  <si>
    <t>KR7458760006</t>
    <phoneticPr fontId="1" type="noConversion"/>
  </si>
  <si>
    <t>458760</t>
    <phoneticPr fontId="1" type="noConversion"/>
  </si>
  <si>
    <t>TIGER 미국배당+7%프리미엄다우존스</t>
    <phoneticPr fontId="1" type="noConversion"/>
  </si>
  <si>
    <t>KR7455860007</t>
    <phoneticPr fontId="1" type="noConversion"/>
  </si>
  <si>
    <t>455860</t>
    <phoneticPr fontId="1" type="noConversion"/>
  </si>
  <si>
    <t>SOL 2차전지소부장Fn</t>
    <phoneticPr fontId="1" type="noConversion"/>
  </si>
  <si>
    <t>KR7471990002</t>
    <phoneticPr fontId="1" type="noConversion"/>
  </si>
  <si>
    <t>471990</t>
    <phoneticPr fontId="1" type="noConversion"/>
  </si>
  <si>
    <t>KODEX AI반도체핵심장비</t>
    <phoneticPr fontId="1" type="noConversion"/>
  </si>
  <si>
    <t>KR7452250004</t>
    <phoneticPr fontId="1" type="noConversion"/>
  </si>
  <si>
    <t>452250</t>
    <phoneticPr fontId="1" type="noConversion"/>
  </si>
  <si>
    <t>ACE 미국30년국채선물레버리지(합성 H)</t>
    <phoneticPr fontId="1" type="noConversion"/>
  </si>
  <si>
    <t>KR7395270002</t>
    <phoneticPr fontId="1" type="noConversion"/>
  </si>
  <si>
    <t>395270</t>
    <phoneticPr fontId="1" type="noConversion"/>
  </si>
  <si>
    <t>HANARO Fn K-반도체</t>
    <phoneticPr fontId="1" type="noConversion"/>
  </si>
  <si>
    <t>KR7261260004</t>
    <phoneticPr fontId="1" type="noConversion"/>
  </si>
  <si>
    <t>261260</t>
    <phoneticPr fontId="1" type="noConversion"/>
  </si>
  <si>
    <t>KODEX 미국달러선물인버스2X</t>
    <phoneticPr fontId="1" type="noConversion"/>
  </si>
  <si>
    <t>KR7441640000</t>
    <phoneticPr fontId="1" type="noConversion"/>
  </si>
  <si>
    <t>441640</t>
    <phoneticPr fontId="1" type="noConversion"/>
  </si>
  <si>
    <t>KODEX 미국배당프리미엄액티브</t>
    <phoneticPr fontId="1" type="noConversion"/>
  </si>
  <si>
    <t>KR7091160002</t>
    <phoneticPr fontId="1" type="noConversion"/>
  </si>
  <si>
    <t>091160</t>
    <phoneticPr fontId="1" type="noConversion"/>
  </si>
  <si>
    <t>KODEX 반도체</t>
    <phoneticPr fontId="1" type="noConversion"/>
  </si>
  <si>
    <t>KR7139230007</t>
    <phoneticPr fontId="1" type="noConversion"/>
  </si>
  <si>
    <t>139230</t>
    <phoneticPr fontId="1" type="noConversion"/>
  </si>
  <si>
    <t>TIGER 200 중공업</t>
    <phoneticPr fontId="1" type="noConversion"/>
  </si>
  <si>
    <t>KR7304660004</t>
    <phoneticPr fontId="1" type="noConversion"/>
  </si>
  <si>
    <t>304660</t>
    <phoneticPr fontId="1" type="noConversion"/>
  </si>
  <si>
    <t>KODEX 미국채울트라30년선물(H)</t>
    <phoneticPr fontId="1" type="noConversion"/>
  </si>
  <si>
    <t>KR7457480002</t>
    <phoneticPr fontId="1" type="noConversion"/>
  </si>
  <si>
    <t>457480</t>
    <phoneticPr fontId="1" type="noConversion"/>
  </si>
  <si>
    <t>ACE 테슬라밸류체인액티브</t>
    <phoneticPr fontId="1" type="noConversion"/>
  </si>
  <si>
    <t>KR7388420002</t>
    <phoneticPr fontId="1" type="noConversion"/>
  </si>
  <si>
    <t>388420</t>
    <phoneticPr fontId="1" type="noConversion"/>
  </si>
  <si>
    <t>KBSTAR 비메모리반도체액티브</t>
    <phoneticPr fontId="1" type="noConversion"/>
  </si>
  <si>
    <t>KR7452360001</t>
    <phoneticPr fontId="1" type="noConversion"/>
  </si>
  <si>
    <t>452360</t>
    <phoneticPr fontId="1" type="noConversion"/>
  </si>
  <si>
    <t>SOL 미국배당다우존스(H)</t>
    <phoneticPr fontId="1" type="noConversion"/>
  </si>
  <si>
    <t>KR7204480008</t>
    <phoneticPr fontId="1" type="noConversion"/>
  </si>
  <si>
    <t>204480</t>
    <phoneticPr fontId="1" type="noConversion"/>
  </si>
  <si>
    <t>TIGER 차이나CSI300레버리지(합성)</t>
    <phoneticPr fontId="1" type="noConversion"/>
  </si>
  <si>
    <t>KR7465330009</t>
    <phoneticPr fontId="1" type="noConversion"/>
  </si>
  <si>
    <t>465330</t>
    <phoneticPr fontId="1" type="noConversion"/>
  </si>
  <si>
    <t>KBSTAR 2차전지TOP10</t>
    <phoneticPr fontId="1" type="noConversion"/>
  </si>
  <si>
    <t>KR7458730009</t>
    <phoneticPr fontId="1" type="noConversion"/>
  </si>
  <si>
    <t>458730</t>
    <phoneticPr fontId="1" type="noConversion"/>
  </si>
  <si>
    <t>TIGER 미국배당다우존스</t>
    <phoneticPr fontId="1" type="noConversion"/>
  </si>
  <si>
    <t>KR7441680006</t>
    <phoneticPr fontId="1" type="noConversion"/>
  </si>
  <si>
    <t>441680</t>
    <phoneticPr fontId="1" type="noConversion"/>
  </si>
  <si>
    <t>TIGER 미국나스닥100커버드콜(합성)</t>
    <phoneticPr fontId="1" type="noConversion"/>
  </si>
  <si>
    <t>KR7364960005</t>
    <phoneticPr fontId="1" type="noConversion"/>
  </si>
  <si>
    <t>364960</t>
    <phoneticPr fontId="1" type="noConversion"/>
  </si>
  <si>
    <t>TIGER BBIG</t>
    <phoneticPr fontId="1" type="noConversion"/>
  </si>
  <si>
    <t>KR7409820008</t>
    <phoneticPr fontId="1" type="noConversion"/>
  </si>
  <si>
    <t>409820</t>
    <phoneticPr fontId="1" type="noConversion"/>
  </si>
  <si>
    <t>KODEX 미국나스닥100레버리지(합성 H)</t>
    <phoneticPr fontId="1" type="noConversion"/>
  </si>
  <si>
    <t>KR7091180000</t>
    <phoneticPr fontId="1" type="noConversion"/>
  </si>
  <si>
    <t>091180</t>
    <phoneticPr fontId="1" type="noConversion"/>
  </si>
  <si>
    <t>KODEX 자동차</t>
    <phoneticPr fontId="1" type="noConversion"/>
  </si>
  <si>
    <t>KR7469170005</t>
    <phoneticPr fontId="1" type="noConversion"/>
  </si>
  <si>
    <t>469170</t>
    <phoneticPr fontId="1" type="noConversion"/>
  </si>
  <si>
    <t>ACE 포스코그룹포커스</t>
    <phoneticPr fontId="1" type="noConversion"/>
  </si>
  <si>
    <t>KR7412570004</t>
    <phoneticPr fontId="1" type="noConversion"/>
  </si>
  <si>
    <t>412570</t>
    <phoneticPr fontId="1" type="noConversion"/>
  </si>
  <si>
    <t>TIGER 2차전지TOP10레버리지</t>
    <phoneticPr fontId="1" type="noConversion"/>
  </si>
  <si>
    <t>KR7446720005</t>
    <phoneticPr fontId="1" type="noConversion"/>
  </si>
  <si>
    <t>446720</t>
    <phoneticPr fontId="1" type="noConversion"/>
  </si>
  <si>
    <t>SOL 미국배당다우존스</t>
    <phoneticPr fontId="1" type="noConversion"/>
  </si>
  <si>
    <t>KR7102780004</t>
    <phoneticPr fontId="1" type="noConversion"/>
  </si>
  <si>
    <t>102780</t>
    <phoneticPr fontId="1" type="noConversion"/>
  </si>
  <si>
    <t>KODEX 삼성그룹</t>
    <phoneticPr fontId="1" type="noConversion"/>
  </si>
  <si>
    <t>KR7445150006</t>
    <phoneticPr fontId="1" type="noConversion"/>
  </si>
  <si>
    <t>445150</t>
    <phoneticPr fontId="1" type="noConversion"/>
  </si>
  <si>
    <t>KODEX K-친환경선박액티브</t>
    <phoneticPr fontId="1" type="noConversion"/>
  </si>
  <si>
    <t>KR7372330001</t>
    <phoneticPr fontId="1" type="noConversion"/>
  </si>
  <si>
    <t>372330</t>
    <phoneticPr fontId="1" type="noConversion"/>
  </si>
  <si>
    <t>KODEX 차이나항셍테크</t>
    <phoneticPr fontId="1" type="noConversion"/>
  </si>
  <si>
    <t>KR7472150002</t>
    <phoneticPr fontId="1" type="noConversion"/>
  </si>
  <si>
    <t>472150</t>
    <phoneticPr fontId="1" type="noConversion"/>
  </si>
  <si>
    <t>TIGER 배당프리미엄액티브</t>
    <phoneticPr fontId="1" type="noConversion"/>
  </si>
  <si>
    <t>KR7472170000</t>
    <phoneticPr fontId="1" type="noConversion"/>
  </si>
  <si>
    <t>472170</t>
    <phoneticPr fontId="1" type="noConversion"/>
  </si>
  <si>
    <t>TIGER 미국테크TOP10채권혼합</t>
    <phoneticPr fontId="1" type="noConversion"/>
  </si>
  <si>
    <t>KR7244580007</t>
    <phoneticPr fontId="1" type="noConversion"/>
  </si>
  <si>
    <t>244580</t>
    <phoneticPr fontId="1" type="noConversion"/>
  </si>
  <si>
    <t>KODEX 바이오</t>
    <phoneticPr fontId="1" type="noConversion"/>
  </si>
  <si>
    <t>KR7292150000</t>
    <phoneticPr fontId="1" type="noConversion"/>
  </si>
  <si>
    <t>292150</t>
    <phoneticPr fontId="1" type="noConversion"/>
  </si>
  <si>
    <t>TIGER TOP10</t>
    <phoneticPr fontId="1" type="noConversion"/>
  </si>
  <si>
    <t>KR7402970008</t>
    <phoneticPr fontId="1" type="noConversion"/>
  </si>
  <si>
    <t>402970</t>
    <phoneticPr fontId="1" type="noConversion"/>
  </si>
  <si>
    <t>ACE 미국배당다우존스</t>
    <phoneticPr fontId="1" type="noConversion"/>
  </si>
  <si>
    <t>KR7267770006</t>
    <phoneticPr fontId="1" type="noConversion"/>
  </si>
  <si>
    <t>267770</t>
    <phoneticPr fontId="1" type="noConversion"/>
  </si>
  <si>
    <t>TIGER 200선물레버리지</t>
    <phoneticPr fontId="1" type="noConversion"/>
  </si>
  <si>
    <t>KR7228790002</t>
    <phoneticPr fontId="1" type="noConversion"/>
  </si>
  <si>
    <t>228790</t>
    <phoneticPr fontId="1" type="noConversion"/>
  </si>
  <si>
    <t>TIGER 화장품</t>
    <phoneticPr fontId="1" type="noConversion"/>
  </si>
  <si>
    <t>KR7459580007</t>
    <phoneticPr fontId="1" type="noConversion"/>
  </si>
  <si>
    <t>459580</t>
    <phoneticPr fontId="1" type="noConversion"/>
  </si>
  <si>
    <t>KODEX CD금리액티브(합성)</t>
    <phoneticPr fontId="1" type="noConversion"/>
  </si>
  <si>
    <t>KR7261220008</t>
    <phoneticPr fontId="1" type="noConversion"/>
  </si>
  <si>
    <t>261220</t>
    <phoneticPr fontId="1" type="noConversion"/>
  </si>
  <si>
    <t>KODEX WTI원유선물(H)</t>
    <phoneticPr fontId="1" type="noConversion"/>
  </si>
  <si>
    <t>KR7379800006</t>
    <phoneticPr fontId="1" type="noConversion"/>
  </si>
  <si>
    <t>379800</t>
    <phoneticPr fontId="1" type="noConversion"/>
  </si>
  <si>
    <t>KODEX 미국S&amp;P500TR</t>
    <phoneticPr fontId="1" type="noConversion"/>
  </si>
  <si>
    <t>KR7292560000</t>
    <phoneticPr fontId="1" type="noConversion"/>
  </si>
  <si>
    <t>292560</t>
    <phoneticPr fontId="1" type="noConversion"/>
  </si>
  <si>
    <t>TIGER 일본엔선물</t>
    <phoneticPr fontId="1" type="noConversion"/>
  </si>
  <si>
    <t>KR7271050007</t>
    <phoneticPr fontId="1" type="noConversion"/>
  </si>
  <si>
    <t>271050</t>
    <phoneticPr fontId="1" type="noConversion"/>
  </si>
  <si>
    <t>KODEX WTI원유선물인버스(H)</t>
    <phoneticPr fontId="1" type="noConversion"/>
  </si>
  <si>
    <t>KR7379780000</t>
    <phoneticPr fontId="1" type="noConversion"/>
  </si>
  <si>
    <t>379780</t>
    <phoneticPr fontId="1" type="noConversion"/>
  </si>
  <si>
    <t>KBSTAR 미국S&amp;P500</t>
    <phoneticPr fontId="1" type="noConversion"/>
  </si>
  <si>
    <t>KR7423160001</t>
    <phoneticPr fontId="1" type="noConversion"/>
  </si>
  <si>
    <t>423160</t>
    <phoneticPr fontId="1" type="noConversion"/>
  </si>
  <si>
    <t>KODEX KOFR금리액티브(합성)</t>
    <phoneticPr fontId="1" type="noConversion"/>
  </si>
  <si>
    <t>KR7218420008</t>
    <phoneticPr fontId="1" type="noConversion"/>
  </si>
  <si>
    <t>218420</t>
    <phoneticPr fontId="1" type="noConversion"/>
  </si>
  <si>
    <t>KODEX 미국S&amp;P500에너지(합성)</t>
    <phoneticPr fontId="1" type="noConversion"/>
  </si>
  <si>
    <t>KR7472160001</t>
    <phoneticPr fontId="1" type="noConversion"/>
  </si>
  <si>
    <t>472160</t>
    <phoneticPr fontId="1" type="noConversion"/>
  </si>
  <si>
    <t>TIGER 미국테크TOP10 INDXX(H)</t>
    <phoneticPr fontId="1" type="noConversion"/>
  </si>
  <si>
    <t>KR7463050005</t>
    <phoneticPr fontId="1" type="noConversion"/>
  </si>
  <si>
    <t>463050</t>
    <phoneticPr fontId="1" type="noConversion"/>
  </si>
  <si>
    <t>TIMEFOLIO K바이오액티브</t>
    <phoneticPr fontId="1" type="noConversion"/>
  </si>
  <si>
    <t>KR7130680002</t>
    <phoneticPr fontId="1" type="noConversion"/>
  </si>
  <si>
    <t>130680</t>
    <phoneticPr fontId="1" type="noConversion"/>
  </si>
  <si>
    <t>TIGER 원유선물Enhanced(H)</t>
    <phoneticPr fontId="1" type="noConversion"/>
  </si>
  <si>
    <t>KR7456600006</t>
    <phoneticPr fontId="1" type="noConversion"/>
  </si>
  <si>
    <t>456600</t>
    <phoneticPr fontId="1" type="noConversion"/>
  </si>
  <si>
    <t>TIMEFOLIO 글로벌AI인공지능액티브</t>
    <phoneticPr fontId="1" type="noConversion"/>
  </si>
  <si>
    <t>KR7465580009</t>
    <phoneticPr fontId="1" type="noConversion"/>
  </si>
  <si>
    <t>465580</t>
    <phoneticPr fontId="1" type="noConversion"/>
  </si>
  <si>
    <t>ACE 미국빅테크TOP7 Plus</t>
    <phoneticPr fontId="1" type="noConversion"/>
  </si>
  <si>
    <t>KR7468380001</t>
    <phoneticPr fontId="1" type="noConversion"/>
  </si>
  <si>
    <t>468380</t>
    <phoneticPr fontId="1" type="noConversion"/>
  </si>
  <si>
    <t>KODEX iShares미국하이일드액티브</t>
    <phoneticPr fontId="1" type="noConversion"/>
  </si>
  <si>
    <t>KR7438320004</t>
    <phoneticPr fontId="1" type="noConversion"/>
  </si>
  <si>
    <t>438320</t>
    <phoneticPr fontId="1" type="noConversion"/>
  </si>
  <si>
    <t>TIGER 차이나항셍테크레버리지(합성 H)</t>
    <phoneticPr fontId="1" type="noConversion"/>
  </si>
  <si>
    <t>KR7364970004</t>
    <phoneticPr fontId="1" type="noConversion"/>
  </si>
  <si>
    <t>364970</t>
    <phoneticPr fontId="1" type="noConversion"/>
  </si>
  <si>
    <t>TIGER 바이오TOP10</t>
    <phoneticPr fontId="1" type="noConversion"/>
  </si>
  <si>
    <t>KR7226490001</t>
    <phoneticPr fontId="1" type="noConversion"/>
  </si>
  <si>
    <t>226490</t>
    <phoneticPr fontId="1" type="noConversion"/>
  </si>
  <si>
    <t>KODEX 코스피</t>
    <phoneticPr fontId="1" type="noConversion"/>
  </si>
  <si>
    <t>KR7192090009</t>
    <phoneticPr fontId="1" type="noConversion"/>
  </si>
  <si>
    <t>192090</t>
    <phoneticPr fontId="1" type="noConversion"/>
  </si>
  <si>
    <t>TIGER 차이나CSI300</t>
    <phoneticPr fontId="1" type="noConversion"/>
  </si>
  <si>
    <t>KR7469070007</t>
    <phoneticPr fontId="1" type="noConversion"/>
  </si>
  <si>
    <t>469070</t>
    <phoneticPr fontId="1" type="noConversion"/>
  </si>
  <si>
    <t>KBSTAR AI&amp;로봇</t>
    <phoneticPr fontId="1" type="noConversion"/>
  </si>
  <si>
    <t>KR7280930009</t>
    <phoneticPr fontId="1" type="noConversion"/>
  </si>
  <si>
    <t>280930</t>
    <phoneticPr fontId="1" type="noConversion"/>
  </si>
  <si>
    <t>KODEX 미국러셀2000(H)</t>
    <phoneticPr fontId="1" type="noConversion"/>
  </si>
  <si>
    <t>KR7300950003</t>
    <phoneticPr fontId="1" type="noConversion"/>
  </si>
  <si>
    <t>300950</t>
    <phoneticPr fontId="1" type="noConversion"/>
  </si>
  <si>
    <t>KODEX 게임산업</t>
    <phoneticPr fontId="1" type="noConversion"/>
  </si>
  <si>
    <t>KR7360200000</t>
    <phoneticPr fontId="1" type="noConversion"/>
  </si>
  <si>
    <t>360200</t>
    <phoneticPr fontId="1" type="noConversion"/>
  </si>
  <si>
    <t>ACE 미국S&amp;P500</t>
    <phoneticPr fontId="1" type="noConversion"/>
  </si>
  <si>
    <t>KR7099140006</t>
    <phoneticPr fontId="1" type="noConversion"/>
  </si>
  <si>
    <t>099140</t>
    <phoneticPr fontId="1" type="noConversion"/>
  </si>
  <si>
    <t>KODEX 차이나H</t>
    <phoneticPr fontId="1" type="noConversion"/>
  </si>
  <si>
    <t>KR7458250008</t>
    <phoneticPr fontId="1" type="noConversion"/>
  </si>
  <si>
    <t>458250</t>
    <phoneticPr fontId="1" type="noConversion"/>
  </si>
  <si>
    <t>TIGER 미국채30년스트립액티브(합성 H)</t>
    <phoneticPr fontId="1" type="noConversion"/>
  </si>
  <si>
    <t>KR7143850006</t>
    <phoneticPr fontId="1" type="noConversion"/>
  </si>
  <si>
    <t>143850</t>
    <phoneticPr fontId="1" type="noConversion"/>
  </si>
  <si>
    <t>TIGER 미국S&amp;P500선물(H)</t>
    <phoneticPr fontId="1" type="noConversion"/>
  </si>
  <si>
    <t>KR7379810005</t>
    <phoneticPr fontId="1" type="noConversion"/>
  </si>
  <si>
    <t>379810</t>
    <phoneticPr fontId="1" type="noConversion"/>
  </si>
  <si>
    <t>KODEX 미국나스닥100TR</t>
    <phoneticPr fontId="1" type="noConversion"/>
  </si>
  <si>
    <t>KR7285000006</t>
    <phoneticPr fontId="1" type="noConversion"/>
  </si>
  <si>
    <t>285000</t>
    <phoneticPr fontId="1" type="noConversion"/>
  </si>
  <si>
    <t>KBSTAR 200IT</t>
    <phoneticPr fontId="1" type="noConversion"/>
  </si>
  <si>
    <t>KR7385510003</t>
    <phoneticPr fontId="1" type="noConversion"/>
  </si>
  <si>
    <t>385510</t>
    <phoneticPr fontId="1" type="noConversion"/>
  </si>
  <si>
    <t>KODEX K-신재생에너지액티브</t>
    <phoneticPr fontId="1" type="noConversion"/>
  </si>
  <si>
    <t>KR7091230003</t>
    <phoneticPr fontId="1" type="noConversion"/>
  </si>
  <si>
    <t>091230</t>
    <phoneticPr fontId="1" type="noConversion"/>
  </si>
  <si>
    <t>TIGER 반도체</t>
    <phoneticPr fontId="1" type="noConversion"/>
  </si>
  <si>
    <t>KR7441540002</t>
    <phoneticPr fontId="1" type="noConversion"/>
  </si>
  <si>
    <t>441540</t>
    <phoneticPr fontId="1" type="noConversion"/>
  </si>
  <si>
    <t>HANARO Fn조선해운</t>
    <phoneticPr fontId="1" type="noConversion"/>
  </si>
  <si>
    <t>KR7228800009</t>
    <phoneticPr fontId="1" type="noConversion"/>
  </si>
  <si>
    <t>228800</t>
    <phoneticPr fontId="1" type="noConversion"/>
  </si>
  <si>
    <t>TIGER 여행레저</t>
    <phoneticPr fontId="1" type="noConversion"/>
  </si>
  <si>
    <t>KR7278530001</t>
    <phoneticPr fontId="1" type="noConversion"/>
  </si>
  <si>
    <t>278530</t>
    <phoneticPr fontId="1" type="noConversion"/>
  </si>
  <si>
    <t>KODEX 200TR</t>
    <phoneticPr fontId="1" type="noConversion"/>
  </si>
  <si>
    <t>KR7252420005</t>
    <phoneticPr fontId="1" type="noConversion"/>
  </si>
  <si>
    <t>252420</t>
    <phoneticPr fontId="1" type="noConversion"/>
  </si>
  <si>
    <t>KBSTAR 200선물인버스2X</t>
    <phoneticPr fontId="1" type="noConversion"/>
  </si>
  <si>
    <t>KR7123320004</t>
    <phoneticPr fontId="1" type="noConversion"/>
  </si>
  <si>
    <t>123320</t>
    <phoneticPr fontId="1" type="noConversion"/>
  </si>
  <si>
    <t>TIGER 레버리지</t>
    <phoneticPr fontId="1" type="noConversion"/>
  </si>
  <si>
    <t>KR7091170001</t>
    <phoneticPr fontId="1" type="noConversion"/>
  </si>
  <si>
    <t>091170</t>
    <phoneticPr fontId="1" type="noConversion"/>
  </si>
  <si>
    <t>KODEX 은행</t>
    <phoneticPr fontId="1" type="noConversion"/>
  </si>
  <si>
    <t>KR7148020001</t>
    <phoneticPr fontId="1" type="noConversion"/>
  </si>
  <si>
    <t>148020</t>
    <phoneticPr fontId="1" type="noConversion"/>
  </si>
  <si>
    <t>KBSTAR 200</t>
    <phoneticPr fontId="1" type="noConversion"/>
  </si>
  <si>
    <t>KR7144600004</t>
    <phoneticPr fontId="1" type="noConversion"/>
  </si>
  <si>
    <t>144600</t>
    <phoneticPr fontId="1" type="noConversion"/>
  </si>
  <si>
    <t>KODEX 은선물(H)</t>
    <phoneticPr fontId="1" type="noConversion"/>
  </si>
  <si>
    <t>KR7446770000</t>
    <phoneticPr fontId="1" type="noConversion"/>
  </si>
  <si>
    <t>446770</t>
    <phoneticPr fontId="1" type="noConversion"/>
  </si>
  <si>
    <t>ACE 글로벌반도체TOP4 Plus SOLACTIVE</t>
    <phoneticPr fontId="1" type="noConversion"/>
  </si>
  <si>
    <t>KR7395160005</t>
    <phoneticPr fontId="1" type="noConversion"/>
  </si>
  <si>
    <t>395160</t>
    <phoneticPr fontId="1" type="noConversion"/>
  </si>
  <si>
    <t>KODEX Fn시스템반도체</t>
    <phoneticPr fontId="1" type="noConversion"/>
  </si>
  <si>
    <t>KR7233160001</t>
    <phoneticPr fontId="1" type="noConversion"/>
  </si>
  <si>
    <t>233160</t>
    <phoneticPr fontId="1" type="noConversion"/>
  </si>
  <si>
    <t>TIGER 코스닥150 레버리지</t>
    <phoneticPr fontId="1" type="noConversion"/>
  </si>
  <si>
    <t>KR7472830009</t>
    <phoneticPr fontId="1" type="noConversion"/>
  </si>
  <si>
    <t>472830</t>
    <phoneticPr fontId="1" type="noConversion"/>
  </si>
  <si>
    <t>KBSTAR 미국채30년커버드콜(합성)</t>
    <phoneticPr fontId="1" type="noConversion"/>
  </si>
  <si>
    <t>KR7455890004</t>
    <phoneticPr fontId="1" type="noConversion"/>
  </si>
  <si>
    <t>455890</t>
    <phoneticPr fontId="1" type="noConversion"/>
  </si>
  <si>
    <t>KBSTAR 머니마켓액티브</t>
    <phoneticPr fontId="1" type="noConversion"/>
  </si>
  <si>
    <t>KR7367380003</t>
    <phoneticPr fontId="1" type="noConversion"/>
  </si>
  <si>
    <t>367380</t>
    <phoneticPr fontId="1" type="noConversion"/>
  </si>
  <si>
    <t>ACE 미국나스닥100</t>
    <phoneticPr fontId="1" type="noConversion"/>
  </si>
  <si>
    <t>KR7466920006</t>
    <phoneticPr fontId="1" type="noConversion"/>
  </si>
  <si>
    <t>466920</t>
    <phoneticPr fontId="1" type="noConversion"/>
  </si>
  <si>
    <t>SOL 조선TOP3플러스</t>
    <phoneticPr fontId="1" type="noConversion"/>
  </si>
  <si>
    <t>KR7390390003</t>
    <phoneticPr fontId="1" type="noConversion"/>
  </si>
  <si>
    <t>390390</t>
    <phoneticPr fontId="1" type="noConversion"/>
  </si>
  <si>
    <t>KODEX 미국반도체MV</t>
    <phoneticPr fontId="1" type="noConversion"/>
  </si>
  <si>
    <t>KR7357870005</t>
    <phoneticPr fontId="1" type="noConversion"/>
  </si>
  <si>
    <t>357870</t>
    <phoneticPr fontId="1" type="noConversion"/>
  </si>
  <si>
    <t>TIGER CD금리투자KIS(합성)</t>
    <phoneticPr fontId="1" type="noConversion"/>
  </si>
  <si>
    <t>KR7123310005</t>
    <phoneticPr fontId="1" type="noConversion"/>
  </si>
  <si>
    <t>123310</t>
    <phoneticPr fontId="1" type="noConversion"/>
  </si>
  <si>
    <t>TIGER 인버스</t>
    <phoneticPr fontId="1" type="noConversion"/>
  </si>
  <si>
    <t>KR7200250009</t>
    <phoneticPr fontId="1" type="noConversion"/>
  </si>
  <si>
    <t>200250</t>
    <phoneticPr fontId="1" type="noConversion"/>
  </si>
  <si>
    <t>KOSEF 인도Nifty50(합성)</t>
    <phoneticPr fontId="1" type="noConversion"/>
  </si>
  <si>
    <t>KR7453810004</t>
    <phoneticPr fontId="1" type="noConversion"/>
  </si>
  <si>
    <t>453810</t>
    <phoneticPr fontId="1" type="noConversion"/>
  </si>
  <si>
    <t>KODEX 인도Nifty50</t>
    <phoneticPr fontId="1" type="noConversion"/>
  </si>
  <si>
    <t>KR7471780007</t>
    <phoneticPr fontId="1" type="noConversion"/>
  </si>
  <si>
    <t>471780</t>
    <phoneticPr fontId="1" type="noConversion"/>
  </si>
  <si>
    <t>TIGER 코리아테크액티브</t>
    <phoneticPr fontId="1" type="noConversion"/>
  </si>
  <si>
    <t>KR7464930007</t>
    <phoneticPr fontId="1" type="noConversion"/>
  </si>
  <si>
    <t>464930</t>
    <phoneticPr fontId="1" type="noConversion"/>
  </si>
  <si>
    <t>TIGER 글로벌혁신블루칩TOP10</t>
    <phoneticPr fontId="1" type="noConversion"/>
  </si>
  <si>
    <t>KR7465680007</t>
    <phoneticPr fontId="1" type="noConversion"/>
  </si>
  <si>
    <t>465680</t>
    <phoneticPr fontId="1" type="noConversion"/>
  </si>
  <si>
    <t>KODEX 24-12 은행채(AA+이상)액티브</t>
    <phoneticPr fontId="1" type="noConversion"/>
  </si>
  <si>
    <t>KR7295040000</t>
    <phoneticPr fontId="1" type="noConversion"/>
  </si>
  <si>
    <t>295040</t>
    <phoneticPr fontId="1" type="noConversion"/>
  </si>
  <si>
    <t>SOL 200TR</t>
    <phoneticPr fontId="1" type="noConversion"/>
  </si>
  <si>
    <t>KR7133690008</t>
    <phoneticPr fontId="1" type="noConversion"/>
  </si>
  <si>
    <t>133690</t>
    <phoneticPr fontId="1" type="noConversion"/>
  </si>
  <si>
    <t>TIGER 미국나스닥100</t>
    <phoneticPr fontId="1" type="noConversion"/>
  </si>
  <si>
    <t>KR7368590006</t>
    <phoneticPr fontId="1" type="noConversion"/>
  </si>
  <si>
    <t>368590</t>
    <phoneticPr fontId="1" type="noConversion"/>
  </si>
  <si>
    <t>KBSTAR 미국나스닥100</t>
    <phoneticPr fontId="1" type="noConversion"/>
  </si>
  <si>
    <t>KR7314250002</t>
    <phoneticPr fontId="1" type="noConversion"/>
  </si>
  <si>
    <t>314250</t>
    <phoneticPr fontId="1" type="noConversion"/>
  </si>
  <si>
    <t>KODEX 미국FANG플러스(H)</t>
    <phoneticPr fontId="1" type="noConversion"/>
  </si>
  <si>
    <t>KR7394670004</t>
    <phoneticPr fontId="1" type="noConversion"/>
  </si>
  <si>
    <t>394670</t>
    <phoneticPr fontId="1" type="noConversion"/>
  </si>
  <si>
    <t>TIGER 글로벌리튬&amp;2차전지SOLACTIVE(합성)</t>
    <phoneticPr fontId="1" type="noConversion"/>
  </si>
  <si>
    <t>KR7245710009</t>
    <phoneticPr fontId="1" type="noConversion"/>
  </si>
  <si>
    <t>245710</t>
    <phoneticPr fontId="1" type="noConversion"/>
  </si>
  <si>
    <t>ACE 베트남VN30(합성)</t>
    <phoneticPr fontId="1" type="noConversion"/>
  </si>
  <si>
    <t>KR7139260004</t>
    <phoneticPr fontId="1" type="noConversion"/>
  </si>
  <si>
    <t>139260</t>
    <phoneticPr fontId="1" type="noConversion"/>
  </si>
  <si>
    <t>TIGER 200 IT</t>
    <phoneticPr fontId="1" type="noConversion"/>
  </si>
  <si>
    <t>KR7418660007</t>
    <phoneticPr fontId="1" type="noConversion"/>
  </si>
  <si>
    <t>418660</t>
    <phoneticPr fontId="1" type="noConversion"/>
  </si>
  <si>
    <t>TIGER 미국나스닥100레버리지(합성)</t>
    <phoneticPr fontId="1" type="noConversion"/>
  </si>
  <si>
    <t>KR7456680008</t>
    <phoneticPr fontId="1" type="noConversion"/>
  </si>
  <si>
    <t>456680</t>
    <phoneticPr fontId="1" type="noConversion"/>
  </si>
  <si>
    <t>TIGER 차이나전기차레버리지(합성)</t>
    <phoneticPr fontId="1" type="noConversion"/>
  </si>
  <si>
    <t>KR7449190008</t>
    <phoneticPr fontId="1" type="noConversion"/>
  </si>
  <si>
    <t>449190</t>
    <phoneticPr fontId="1" type="noConversion"/>
  </si>
  <si>
    <t>KODEX 미국나스닥100(H)</t>
    <phoneticPr fontId="1" type="noConversion"/>
  </si>
  <si>
    <t>KR7400970000</t>
    <phoneticPr fontId="1" type="noConversion"/>
  </si>
  <si>
    <t>400970</t>
    <phoneticPr fontId="1" type="noConversion"/>
  </si>
  <si>
    <t>TIGER Fn메타버스</t>
    <phoneticPr fontId="1" type="noConversion"/>
  </si>
  <si>
    <t>KR7471230003</t>
    <phoneticPr fontId="1" type="noConversion"/>
  </si>
  <si>
    <t>471230</t>
    <phoneticPr fontId="1" type="noConversion"/>
  </si>
  <si>
    <t>KODEX 국고채10년액티브</t>
    <phoneticPr fontId="1" type="noConversion"/>
  </si>
  <si>
    <t>KR7464610005</t>
    <phoneticPr fontId="1" type="noConversion"/>
  </si>
  <si>
    <t>464610</t>
    <phoneticPr fontId="1" type="noConversion"/>
  </si>
  <si>
    <t>SOL 의료기기소부장Fn</t>
    <phoneticPr fontId="1" type="noConversion"/>
  </si>
  <si>
    <t>KR7471040006</t>
    <phoneticPr fontId="1" type="noConversion"/>
  </si>
  <si>
    <t>471040</t>
    <phoneticPr fontId="1" type="noConversion"/>
  </si>
  <si>
    <t>KoAct 글로벌AI&amp;로봇액티브</t>
    <phoneticPr fontId="1" type="noConversion"/>
  </si>
  <si>
    <t>KR7305080004</t>
    <phoneticPr fontId="1" type="noConversion"/>
  </si>
  <si>
    <t>305080</t>
    <phoneticPr fontId="1" type="noConversion"/>
  </si>
  <si>
    <t>TIGER 미국채10년선물</t>
    <phoneticPr fontId="1" type="noConversion"/>
  </si>
  <si>
    <t>KR7253230007</t>
    <phoneticPr fontId="1" type="noConversion"/>
  </si>
  <si>
    <t>253230</t>
    <phoneticPr fontId="1" type="noConversion"/>
  </si>
  <si>
    <t>KOSEF 200선물인버스2X</t>
    <phoneticPr fontId="1" type="noConversion"/>
  </si>
  <si>
    <t>KR7278240007</t>
    <phoneticPr fontId="1" type="noConversion"/>
  </si>
  <si>
    <t>278240</t>
    <phoneticPr fontId="1" type="noConversion"/>
  </si>
  <si>
    <t>KBSTAR 코스닥150선물레버리지</t>
    <phoneticPr fontId="1" type="noConversion"/>
  </si>
  <si>
    <t>KR7462900002</t>
    <phoneticPr fontId="1" type="noConversion"/>
  </si>
  <si>
    <t>462900</t>
    <phoneticPr fontId="1" type="noConversion"/>
  </si>
  <si>
    <t>KoAct 바이오헬스케어액티브</t>
    <phoneticPr fontId="1" type="noConversion"/>
  </si>
  <si>
    <t>KR7411060007</t>
    <phoneticPr fontId="1" type="noConversion"/>
  </si>
  <si>
    <t>411060</t>
    <phoneticPr fontId="1" type="noConversion"/>
  </si>
  <si>
    <t>ACE KRX금현물</t>
    <phoneticPr fontId="1" type="noConversion"/>
  </si>
  <si>
    <t>KR7448300004</t>
    <phoneticPr fontId="1" type="noConversion"/>
  </si>
  <si>
    <t>448300</t>
    <phoneticPr fontId="1" type="noConversion"/>
  </si>
  <si>
    <t>TIGER 미국나스닥100TR(H)</t>
    <phoneticPr fontId="1" type="noConversion"/>
  </si>
  <si>
    <t>KR7453870008</t>
    <phoneticPr fontId="1" type="noConversion"/>
  </si>
  <si>
    <t>453870</t>
    <phoneticPr fontId="1" type="noConversion"/>
  </si>
  <si>
    <t>TIGER 인도니프티50</t>
    <phoneticPr fontId="1" type="noConversion"/>
  </si>
  <si>
    <t>KR7385560008</t>
    <phoneticPr fontId="1" type="noConversion"/>
  </si>
  <si>
    <t>385560</t>
    <phoneticPr fontId="1" type="noConversion"/>
  </si>
  <si>
    <t>KBSTAR KIS국고채30년Enhanced</t>
    <phoneticPr fontId="1" type="noConversion"/>
  </si>
  <si>
    <t>KR7161510003</t>
    <phoneticPr fontId="1" type="noConversion"/>
  </si>
  <si>
    <t>161510</t>
    <phoneticPr fontId="1" type="noConversion"/>
  </si>
  <si>
    <t>ARIRANG 고배당주</t>
    <phoneticPr fontId="1" type="noConversion"/>
  </si>
  <si>
    <t>KR7365000009</t>
    <phoneticPr fontId="1" type="noConversion"/>
  </si>
  <si>
    <t>365000</t>
    <phoneticPr fontId="1" type="noConversion"/>
  </si>
  <si>
    <t>TIGER 인터넷TOP10</t>
    <phoneticPr fontId="1" type="noConversion"/>
  </si>
  <si>
    <t>KR7449450006</t>
    <phoneticPr fontId="1" type="noConversion"/>
  </si>
  <si>
    <t>449450</t>
    <phoneticPr fontId="1" type="noConversion"/>
  </si>
  <si>
    <t>ARIRANG K방산Fn</t>
    <phoneticPr fontId="1" type="noConversion"/>
  </si>
  <si>
    <t>KR7140700006</t>
    <phoneticPr fontId="1" type="noConversion"/>
  </si>
  <si>
    <t>140700</t>
    <phoneticPr fontId="1" type="noConversion"/>
  </si>
  <si>
    <t>KODEX 보험</t>
    <phoneticPr fontId="1" type="noConversion"/>
  </si>
  <si>
    <t>KR7132030008</t>
    <phoneticPr fontId="1" type="noConversion"/>
  </si>
  <si>
    <t>132030</t>
    <phoneticPr fontId="1" type="noConversion"/>
  </si>
  <si>
    <t>KODEX 골드선물(H)</t>
    <phoneticPr fontId="1" type="noConversion"/>
  </si>
  <si>
    <t>KR7461270001</t>
    <phoneticPr fontId="1" type="noConversion"/>
  </si>
  <si>
    <t>461270</t>
    <phoneticPr fontId="1" type="noConversion"/>
  </si>
  <si>
    <t>ACE 26-06 회사채(AA-이상)액티브</t>
    <phoneticPr fontId="1" type="noConversion"/>
  </si>
  <si>
    <t>KR7117700005</t>
    <phoneticPr fontId="1" type="noConversion"/>
  </si>
  <si>
    <t>117700</t>
    <phoneticPr fontId="1" type="noConversion"/>
  </si>
  <si>
    <t>KODEX 건설</t>
    <phoneticPr fontId="1" type="noConversion"/>
  </si>
  <si>
    <t>KR7451530000</t>
    <phoneticPr fontId="1" type="noConversion"/>
  </si>
  <si>
    <t>451530</t>
    <phoneticPr fontId="1" type="noConversion"/>
  </si>
  <si>
    <t>TIGER 국고채30년스트립액티브</t>
    <phoneticPr fontId="1" type="noConversion"/>
  </si>
  <si>
    <t>KR7448290007</t>
    <phoneticPr fontId="1" type="noConversion"/>
  </si>
  <si>
    <t>448290</t>
    <phoneticPr fontId="1" type="noConversion"/>
  </si>
  <si>
    <t>TIGER 미국S&amp;P500TR(H)</t>
    <phoneticPr fontId="1" type="noConversion"/>
  </si>
  <si>
    <t>KR7261250005</t>
    <phoneticPr fontId="1" type="noConversion"/>
  </si>
  <si>
    <t>261250</t>
    <phoneticPr fontId="1" type="noConversion"/>
  </si>
  <si>
    <t>KODEX 미국달러선물레버리지</t>
    <phoneticPr fontId="1" type="noConversion"/>
  </si>
  <si>
    <t>KR7152100004</t>
    <phoneticPr fontId="1" type="noConversion"/>
  </si>
  <si>
    <t>152100</t>
    <phoneticPr fontId="1" type="noConversion"/>
  </si>
  <si>
    <t>ARIRANG 200</t>
    <phoneticPr fontId="1" type="noConversion"/>
  </si>
  <si>
    <t>KR7329750004</t>
    <phoneticPr fontId="1" type="noConversion"/>
  </si>
  <si>
    <t>329750</t>
    <phoneticPr fontId="1" type="noConversion"/>
  </si>
  <si>
    <t>TIGER 미국달러단기채권액티브</t>
    <phoneticPr fontId="1" type="noConversion"/>
  </si>
  <si>
    <t>KR7385600002</t>
    <phoneticPr fontId="1" type="noConversion"/>
  </si>
  <si>
    <t>385600</t>
    <phoneticPr fontId="1" type="noConversion"/>
  </si>
  <si>
    <t>ACE 2차전지&amp;친환경차액티브</t>
    <phoneticPr fontId="1" type="noConversion"/>
  </si>
  <si>
    <t>KR7261070007</t>
    <phoneticPr fontId="1" type="noConversion"/>
  </si>
  <si>
    <t>261070</t>
    <phoneticPr fontId="1" type="noConversion"/>
  </si>
  <si>
    <t>TIGER 코스닥150바이오테크</t>
    <phoneticPr fontId="1" type="noConversion"/>
  </si>
  <si>
    <t>KR7447820002</t>
    <phoneticPr fontId="1" type="noConversion"/>
  </si>
  <si>
    <t>447820</t>
    <phoneticPr fontId="1" type="noConversion"/>
  </si>
  <si>
    <t>TIGER 24-10 회사채(A+이상)액티브</t>
    <phoneticPr fontId="1" type="noConversion"/>
  </si>
  <si>
    <t>KR7364990002</t>
    <phoneticPr fontId="1" type="noConversion"/>
  </si>
  <si>
    <t>364990</t>
    <phoneticPr fontId="1" type="noConversion"/>
  </si>
  <si>
    <t>TIGER 게임TOP10</t>
    <phoneticPr fontId="1" type="noConversion"/>
  </si>
  <si>
    <t>KR7423170000</t>
    <phoneticPr fontId="1" type="noConversion"/>
  </si>
  <si>
    <t>423170</t>
    <phoneticPr fontId="1" type="noConversion"/>
  </si>
  <si>
    <t>SOL 한국형글로벌반도체액티브</t>
    <phoneticPr fontId="1" type="noConversion"/>
  </si>
  <si>
    <t>KR7423920008</t>
    <phoneticPr fontId="1" type="noConversion"/>
  </si>
  <si>
    <t>423920</t>
    <phoneticPr fontId="1" type="noConversion"/>
  </si>
  <si>
    <t>TIGER 미국필라델피아반도체레버리지(합성)</t>
    <phoneticPr fontId="1" type="noConversion"/>
  </si>
  <si>
    <t>KR7396510000</t>
    <phoneticPr fontId="1" type="noConversion"/>
  </si>
  <si>
    <t>396510</t>
    <phoneticPr fontId="1" type="noConversion"/>
  </si>
  <si>
    <t>TIGER 차이나클린에너지SOLACTIVE</t>
    <phoneticPr fontId="1" type="noConversion"/>
  </si>
  <si>
    <t>KR7117680009</t>
    <phoneticPr fontId="1" type="noConversion"/>
  </si>
  <si>
    <t>117680</t>
    <phoneticPr fontId="1" type="noConversion"/>
  </si>
  <si>
    <t>KODEX 철강</t>
    <phoneticPr fontId="1" type="noConversion"/>
  </si>
  <si>
    <t>KR7196230007</t>
    <phoneticPr fontId="1" type="noConversion"/>
  </si>
  <si>
    <t>196230</t>
    <phoneticPr fontId="1" type="noConversion"/>
  </si>
  <si>
    <t>KBSTAR 단기통안채</t>
    <phoneticPr fontId="1" type="noConversion"/>
  </si>
  <si>
    <t>KR7243890001</t>
    <phoneticPr fontId="1" type="noConversion"/>
  </si>
  <si>
    <t>243890</t>
    <phoneticPr fontId="1" type="noConversion"/>
  </si>
  <si>
    <t>TIGER 200에너지화학레버리지</t>
    <phoneticPr fontId="1" type="noConversion"/>
  </si>
  <si>
    <t>KR7464310002</t>
    <phoneticPr fontId="1" type="noConversion"/>
  </si>
  <si>
    <t>464310</t>
    <phoneticPr fontId="1" type="noConversion"/>
  </si>
  <si>
    <t>TIGER 글로벌AI&amp;로보틱스 INDXX</t>
    <phoneticPr fontId="1" type="noConversion"/>
  </si>
  <si>
    <t>KR7466940004</t>
    <phoneticPr fontId="1" type="noConversion"/>
  </si>
  <si>
    <t>466940</t>
    <phoneticPr fontId="1" type="noConversion"/>
  </si>
  <si>
    <t>TIGER 은행고배당플러스TOP10</t>
    <phoneticPr fontId="1" type="noConversion"/>
  </si>
  <si>
    <t>KR7228810008</t>
    <phoneticPr fontId="1" type="noConversion"/>
  </si>
  <si>
    <t>228810</t>
    <phoneticPr fontId="1" type="noConversion"/>
  </si>
  <si>
    <t>TIGER 미디어컨텐츠</t>
    <phoneticPr fontId="1" type="noConversion"/>
  </si>
  <si>
    <t>KR7412770000</t>
    <phoneticPr fontId="1" type="noConversion"/>
  </si>
  <si>
    <t>412770</t>
    <phoneticPr fontId="1" type="noConversion"/>
  </si>
  <si>
    <t>TIGER 글로벌메타버스액티브</t>
    <phoneticPr fontId="1" type="noConversion"/>
  </si>
  <si>
    <t>KR7447770009</t>
    <phoneticPr fontId="1" type="noConversion"/>
  </si>
  <si>
    <t>447770</t>
    <phoneticPr fontId="1" type="noConversion"/>
  </si>
  <si>
    <t>TIGER 테슬라채권혼합Fn</t>
    <phoneticPr fontId="1" type="noConversion"/>
  </si>
  <si>
    <t>KR7152500005</t>
    <phoneticPr fontId="1" type="noConversion"/>
  </si>
  <si>
    <t>152500</t>
    <phoneticPr fontId="1" type="noConversion"/>
  </si>
  <si>
    <t>ACE 레버리지</t>
    <phoneticPr fontId="1" type="noConversion"/>
  </si>
  <si>
    <t>KR7394660005</t>
    <phoneticPr fontId="1" type="noConversion"/>
  </si>
  <si>
    <t>394660</t>
    <phoneticPr fontId="1" type="noConversion"/>
  </si>
  <si>
    <t>TIGER 글로벌자율주행&amp;전기차SOLACTIVE</t>
    <phoneticPr fontId="1" type="noConversion"/>
  </si>
  <si>
    <t>KR7449180009</t>
    <phoneticPr fontId="1" type="noConversion"/>
  </si>
  <si>
    <t>449180</t>
    <phoneticPr fontId="1" type="noConversion"/>
  </si>
  <si>
    <t>KODEX 미국S&amp;P500(H)</t>
    <phoneticPr fontId="1" type="noConversion"/>
  </si>
  <si>
    <t>KR7352560007</t>
    <phoneticPr fontId="1" type="noConversion"/>
  </si>
  <si>
    <t>352560</t>
    <phoneticPr fontId="1" type="noConversion"/>
  </si>
  <si>
    <t>KODEX 다우존스미국리츠(H)</t>
    <phoneticPr fontId="1" type="noConversion"/>
  </si>
  <si>
    <t>KR7400570008</t>
    <phoneticPr fontId="1" type="noConversion"/>
  </si>
  <si>
    <t>400570</t>
    <phoneticPr fontId="1" type="noConversion"/>
  </si>
  <si>
    <t>KODEX 유럽탄소배출권선물ICE(H)</t>
    <phoneticPr fontId="1" type="noConversion"/>
  </si>
  <si>
    <t>KR7267490001</t>
    <phoneticPr fontId="1" type="noConversion"/>
  </si>
  <si>
    <t>267490</t>
    <phoneticPr fontId="1" type="noConversion"/>
  </si>
  <si>
    <t>KBSTAR 미국장기국채선물레버리지(합성 H)</t>
    <phoneticPr fontId="1" type="noConversion"/>
  </si>
  <si>
    <t>KR7458750007</t>
    <phoneticPr fontId="1" type="noConversion"/>
  </si>
  <si>
    <t>458750</t>
    <phoneticPr fontId="1" type="noConversion"/>
  </si>
  <si>
    <t>TIGER 미국배당+3%프리미엄다우존스</t>
    <phoneticPr fontId="1" type="noConversion"/>
  </si>
  <si>
    <t>KR7261240006</t>
    <phoneticPr fontId="1" type="noConversion"/>
  </si>
  <si>
    <t>261240</t>
    <phoneticPr fontId="1" type="noConversion"/>
  </si>
  <si>
    <t>KODEX 미국달러선물</t>
    <phoneticPr fontId="1" type="noConversion"/>
  </si>
  <si>
    <t>KR7395290000</t>
    <phoneticPr fontId="1" type="noConversion"/>
  </si>
  <si>
    <t>395290</t>
    <phoneticPr fontId="1" type="noConversion"/>
  </si>
  <si>
    <t>HANARO Fn K-POP&amp;미디어</t>
    <phoneticPr fontId="1" type="noConversion"/>
  </si>
  <si>
    <t>KR7468630009</t>
    <phoneticPr fontId="1" type="noConversion"/>
  </si>
  <si>
    <t>468630</t>
    <phoneticPr fontId="1" type="noConversion"/>
  </si>
  <si>
    <t>KODEX iShares미국투자등급회사채액티브</t>
    <phoneticPr fontId="1" type="noConversion"/>
  </si>
  <si>
    <t>KR7182480004</t>
    <phoneticPr fontId="1" type="noConversion"/>
  </si>
  <si>
    <t>182480</t>
    <phoneticPr fontId="1" type="noConversion"/>
  </si>
  <si>
    <t>TIGER 미국MSCI리츠(합성 H)</t>
    <phoneticPr fontId="1" type="noConversion"/>
  </si>
  <si>
    <t>KR7466400009</t>
    <phoneticPr fontId="1" type="noConversion"/>
  </si>
  <si>
    <t>466400</t>
    <phoneticPr fontId="1" type="noConversion"/>
  </si>
  <si>
    <t>KTOP 25-08 회사채(A+이상)액티브</t>
    <phoneticPr fontId="1" type="noConversion"/>
  </si>
  <si>
    <t>KR7401170006</t>
    <phoneticPr fontId="1" type="noConversion"/>
  </si>
  <si>
    <t>401170</t>
    <phoneticPr fontId="1" type="noConversion"/>
  </si>
  <si>
    <t>KBSTAR iSelect메타버스</t>
    <phoneticPr fontId="1" type="noConversion"/>
  </si>
  <si>
    <t>KR7325010007</t>
    <phoneticPr fontId="1" type="noConversion"/>
  </si>
  <si>
    <t>325010</t>
    <phoneticPr fontId="1" type="noConversion"/>
  </si>
  <si>
    <t>KODEX Fn성장</t>
    <phoneticPr fontId="1" type="noConversion"/>
  </si>
  <si>
    <t>KR7409810009</t>
    <phoneticPr fontId="1" type="noConversion"/>
  </si>
  <si>
    <t>409810</t>
    <phoneticPr fontId="1" type="noConversion"/>
  </si>
  <si>
    <t>KODEX 미국나스닥100선물인버스(H)</t>
    <phoneticPr fontId="1" type="noConversion"/>
  </si>
  <si>
    <t>KR7465660009</t>
    <phoneticPr fontId="1" type="noConversion"/>
  </si>
  <si>
    <t>465660</t>
    <phoneticPr fontId="1" type="noConversion"/>
  </si>
  <si>
    <t>TIGER 일본반도체FACTSET</t>
    <phoneticPr fontId="1" type="noConversion"/>
  </si>
  <si>
    <t>KR7217770007</t>
    <phoneticPr fontId="1" type="noConversion"/>
  </si>
  <si>
    <t>217770</t>
    <phoneticPr fontId="1" type="noConversion"/>
  </si>
  <si>
    <t>TIGER 원유선물인버스(H)</t>
    <phoneticPr fontId="1" type="noConversion"/>
  </si>
  <si>
    <t>KR7451060008</t>
    <phoneticPr fontId="1" type="noConversion"/>
  </si>
  <si>
    <t>451060</t>
    <phoneticPr fontId="1" type="noConversion"/>
  </si>
  <si>
    <t>KTOP K200액티브</t>
    <phoneticPr fontId="1" type="noConversion"/>
  </si>
  <si>
    <t>KR7469790000</t>
    <phoneticPr fontId="1" type="noConversion"/>
  </si>
  <si>
    <t>469790</t>
    <phoneticPr fontId="1" type="noConversion"/>
  </si>
  <si>
    <t>KOSEF K-테크TOP10</t>
    <phoneticPr fontId="1" type="noConversion"/>
  </si>
  <si>
    <t>KR7157490004</t>
    <phoneticPr fontId="1" type="noConversion"/>
  </si>
  <si>
    <t>157490</t>
    <phoneticPr fontId="1" type="noConversion"/>
  </si>
  <si>
    <t>TIGER 소프트웨어</t>
    <phoneticPr fontId="1" type="noConversion"/>
  </si>
  <si>
    <t>KR7453540007</t>
    <phoneticPr fontId="1" type="noConversion"/>
  </si>
  <si>
    <t>453540</t>
    <phoneticPr fontId="1" type="noConversion"/>
  </si>
  <si>
    <t>TIGER 25-10 회사채(A+이상)액티브</t>
    <phoneticPr fontId="1" type="noConversion"/>
  </si>
  <si>
    <t>KR7367770005</t>
    <phoneticPr fontId="1" type="noConversion"/>
  </si>
  <si>
    <t>367770</t>
    <phoneticPr fontId="1" type="noConversion"/>
  </si>
  <si>
    <t>KBSTAR Fn수소경제테마</t>
    <phoneticPr fontId="1" type="noConversion"/>
  </si>
  <si>
    <t>KR7139220008</t>
    <phoneticPr fontId="1" type="noConversion"/>
  </si>
  <si>
    <t>139220</t>
    <phoneticPr fontId="1" type="noConversion"/>
  </si>
  <si>
    <t>TIGER 200 건설</t>
    <phoneticPr fontId="1" type="noConversion"/>
  </si>
  <si>
    <t>KR7308620004</t>
    <phoneticPr fontId="1" type="noConversion"/>
  </si>
  <si>
    <t>308620</t>
    <phoneticPr fontId="1" type="noConversion"/>
  </si>
  <si>
    <t>KODEX 미국채10년선물</t>
    <phoneticPr fontId="1" type="noConversion"/>
  </si>
  <si>
    <t>KR7266160001</t>
    <phoneticPr fontId="1" type="noConversion"/>
  </si>
  <si>
    <t>266160</t>
    <phoneticPr fontId="1" type="noConversion"/>
  </si>
  <si>
    <t>KBSTAR 고배당</t>
    <phoneticPr fontId="1" type="noConversion"/>
  </si>
  <si>
    <t>KR7463250001</t>
    <phoneticPr fontId="1" type="noConversion"/>
  </si>
  <si>
    <t>463250</t>
    <phoneticPr fontId="1" type="noConversion"/>
  </si>
  <si>
    <t>TIGER 스페이스테크iSelect</t>
    <phoneticPr fontId="1" type="noConversion"/>
  </si>
  <si>
    <t>KR7464920008</t>
    <phoneticPr fontId="1" type="noConversion"/>
  </si>
  <si>
    <t>464920</t>
    <phoneticPr fontId="1" type="noConversion"/>
  </si>
  <si>
    <t>ARIRANG 일본반도체소부장Solactive</t>
    <phoneticPr fontId="1" type="noConversion"/>
  </si>
  <si>
    <t>KR7401470000</t>
    <phoneticPr fontId="1" type="noConversion"/>
  </si>
  <si>
    <t>401470</t>
    <phoneticPr fontId="1" type="noConversion"/>
  </si>
  <si>
    <t>KODEX K-메타버스액티브</t>
    <phoneticPr fontId="1" type="noConversion"/>
  </si>
  <si>
    <t>KR7143860005</t>
    <phoneticPr fontId="1" type="noConversion"/>
  </si>
  <si>
    <t>143860</t>
    <phoneticPr fontId="1" type="noConversion"/>
  </si>
  <si>
    <t>TIGER 헬스케어</t>
    <phoneticPr fontId="1" type="noConversion"/>
  </si>
  <si>
    <t>KR7426020004</t>
    <phoneticPr fontId="1" type="noConversion"/>
  </si>
  <si>
    <t>426020</t>
    <phoneticPr fontId="1" type="noConversion"/>
  </si>
  <si>
    <t>TIMEFOLIO 미국S&amp;P500액티브</t>
    <phoneticPr fontId="1" type="noConversion"/>
  </si>
  <si>
    <t>KR7304670003</t>
    <phoneticPr fontId="1" type="noConversion"/>
  </si>
  <si>
    <t>304670</t>
    <phoneticPr fontId="1" type="noConversion"/>
  </si>
  <si>
    <t>KODEX 미국채울트라30년선물인버스(H)</t>
    <phoneticPr fontId="1" type="noConversion"/>
  </si>
  <si>
    <t>KR7102960002</t>
    <phoneticPr fontId="1" type="noConversion"/>
  </si>
  <si>
    <t>102960</t>
    <phoneticPr fontId="1" type="noConversion"/>
  </si>
  <si>
    <t>KODEX 기계장비</t>
    <phoneticPr fontId="1" type="noConversion"/>
  </si>
  <si>
    <t>KR7401590005</t>
    <phoneticPr fontId="1" type="noConversion"/>
  </si>
  <si>
    <t>401590</t>
    <phoneticPr fontId="1" type="noConversion"/>
  </si>
  <si>
    <t>HANARO 글로벌탄소배출권선물ICE(합성)</t>
    <phoneticPr fontId="1" type="noConversion"/>
  </si>
  <si>
    <t>KR7417630001</t>
    <phoneticPr fontId="1" type="noConversion"/>
  </si>
  <si>
    <t>417630</t>
    <phoneticPr fontId="1" type="noConversion"/>
  </si>
  <si>
    <t>TIGER KEDI혁신기업ESG30</t>
    <phoneticPr fontId="1" type="noConversion"/>
  </si>
  <si>
    <t>KR7446700007</t>
    <phoneticPr fontId="1" type="noConversion"/>
  </si>
  <si>
    <t>446700</t>
    <phoneticPr fontId="1" type="noConversion"/>
  </si>
  <si>
    <t>KBSTAR 배터리 리사이클링iSelect</t>
    <phoneticPr fontId="1" type="noConversion"/>
  </si>
  <si>
    <t>KR7269420006</t>
    <phoneticPr fontId="1" type="noConversion"/>
  </si>
  <si>
    <t>269420</t>
    <phoneticPr fontId="1" type="noConversion"/>
  </si>
  <si>
    <t>KODEX S&amp;P글로벌인프라(합성)</t>
    <phoneticPr fontId="1" type="noConversion"/>
  </si>
  <si>
    <t>KR7300640000</t>
    <phoneticPr fontId="1" type="noConversion"/>
  </si>
  <si>
    <t>300640</t>
    <phoneticPr fontId="1" type="noConversion"/>
  </si>
  <si>
    <t>KBSTAR 게임테마</t>
    <phoneticPr fontId="1" type="noConversion"/>
  </si>
  <si>
    <t>KR7283580009</t>
    <phoneticPr fontId="1" type="noConversion"/>
  </si>
  <si>
    <t>283580</t>
    <phoneticPr fontId="1" type="noConversion"/>
  </si>
  <si>
    <t>KODEX 차이나CSI300</t>
    <phoneticPr fontId="1" type="noConversion"/>
  </si>
  <si>
    <t>KR7414780007</t>
    <phoneticPr fontId="1" type="noConversion"/>
  </si>
  <si>
    <t>414780</t>
    <phoneticPr fontId="1" type="noConversion"/>
  </si>
  <si>
    <t>TIGER 차이나과창판STAR50(합성)</t>
    <phoneticPr fontId="1" type="noConversion"/>
  </si>
  <si>
    <t>KR7140710005</t>
    <phoneticPr fontId="1" type="noConversion"/>
  </si>
  <si>
    <t>140710</t>
    <phoneticPr fontId="1" type="noConversion"/>
  </si>
  <si>
    <t>KODEX 운송</t>
    <phoneticPr fontId="1" type="noConversion"/>
  </si>
  <si>
    <t>KR7102970001</t>
    <phoneticPr fontId="1" type="noConversion"/>
  </si>
  <si>
    <t>102970</t>
    <phoneticPr fontId="1" type="noConversion"/>
  </si>
  <si>
    <t>KODEX 증권</t>
    <phoneticPr fontId="1" type="noConversion"/>
  </si>
  <si>
    <t>KR7253160006</t>
    <phoneticPr fontId="1" type="noConversion"/>
  </si>
  <si>
    <t>253160</t>
    <phoneticPr fontId="1" type="noConversion"/>
  </si>
  <si>
    <t>ARIRANG 200선물인버스2X</t>
    <phoneticPr fontId="1" type="noConversion"/>
  </si>
  <si>
    <t>KR7195980008</t>
    <phoneticPr fontId="1" type="noConversion"/>
  </si>
  <si>
    <t>195980</t>
    <phoneticPr fontId="1" type="noConversion"/>
  </si>
  <si>
    <t>ARIRANG 신흥국MSCI(합성 H)</t>
    <phoneticPr fontId="1" type="noConversion"/>
  </si>
  <si>
    <t>KR7219390002</t>
    <phoneticPr fontId="1" type="noConversion"/>
  </si>
  <si>
    <t>219390</t>
    <phoneticPr fontId="1" type="noConversion"/>
  </si>
  <si>
    <t>KBSTAR 미국S&amp;P원유생산기업(합성 H)</t>
    <phoneticPr fontId="1" type="noConversion"/>
  </si>
  <si>
    <t>KR7377990007</t>
    <phoneticPr fontId="1" type="noConversion"/>
  </si>
  <si>
    <t>377990</t>
    <phoneticPr fontId="1" type="noConversion"/>
  </si>
  <si>
    <t>TIGER Fn신재생에너지</t>
    <phoneticPr fontId="1" type="noConversion"/>
  </si>
  <si>
    <t>KR7473290005</t>
    <phoneticPr fontId="1" type="noConversion"/>
  </si>
  <si>
    <t>473290</t>
    <phoneticPr fontId="1" type="noConversion"/>
  </si>
  <si>
    <t>KODEX 26-12 회사채(AA-이상)액티브</t>
    <phoneticPr fontId="1" type="noConversion"/>
  </si>
  <si>
    <t>KR7447620006</t>
    <phoneticPr fontId="1" type="noConversion"/>
  </si>
  <si>
    <t>447620</t>
    <phoneticPr fontId="1" type="noConversion"/>
  </si>
  <si>
    <t>SOL 미국TOP5채권혼합40 Solactive</t>
    <phoneticPr fontId="1" type="noConversion"/>
  </si>
  <si>
    <t>KR7091220004</t>
    <phoneticPr fontId="1" type="noConversion"/>
  </si>
  <si>
    <t>091220</t>
    <phoneticPr fontId="1" type="noConversion"/>
  </si>
  <si>
    <t>TIGER 은행</t>
    <phoneticPr fontId="1" type="noConversion"/>
  </si>
  <si>
    <t>KR7290130004</t>
    <phoneticPr fontId="1" type="noConversion"/>
  </si>
  <si>
    <t>290130</t>
    <phoneticPr fontId="1" type="noConversion"/>
  </si>
  <si>
    <t>KBSTAR ESG사회책임투자</t>
    <phoneticPr fontId="1" type="noConversion"/>
  </si>
  <si>
    <t>KR7266360007</t>
    <phoneticPr fontId="1" type="noConversion"/>
  </si>
  <si>
    <t>266360</t>
    <phoneticPr fontId="1" type="noConversion"/>
  </si>
  <si>
    <t>KODEX 미디어&amp;엔터테인먼트</t>
    <phoneticPr fontId="1" type="noConversion"/>
  </si>
  <si>
    <t>KR7291630002</t>
    <phoneticPr fontId="1" type="noConversion"/>
  </si>
  <si>
    <t>291630</t>
    <phoneticPr fontId="1" type="noConversion"/>
  </si>
  <si>
    <t>KOSEF 코스닥150선물레버리지</t>
    <phoneticPr fontId="1" type="noConversion"/>
  </si>
  <si>
    <t>KR7266420009</t>
    <phoneticPr fontId="1" type="noConversion"/>
  </si>
  <si>
    <t>266420</t>
    <phoneticPr fontId="1" type="noConversion"/>
  </si>
  <si>
    <t>KODEX 헬스케어</t>
    <phoneticPr fontId="1" type="noConversion"/>
  </si>
  <si>
    <t>KR7435420005</t>
    <phoneticPr fontId="1" type="noConversion"/>
  </si>
  <si>
    <t>435420</t>
    <phoneticPr fontId="1" type="noConversion"/>
  </si>
  <si>
    <t>TIGER 미국나스닥100TR채권혼합Fn</t>
    <phoneticPr fontId="1" type="noConversion"/>
  </si>
  <si>
    <t>KR7261270003</t>
    <phoneticPr fontId="1" type="noConversion"/>
  </si>
  <si>
    <t>261270</t>
    <phoneticPr fontId="1" type="noConversion"/>
  </si>
  <si>
    <t>KODEX 미국달러선물인버스</t>
    <phoneticPr fontId="1" type="noConversion"/>
  </si>
  <si>
    <t>KR7469150007</t>
    <phoneticPr fontId="1" type="noConversion"/>
  </si>
  <si>
    <t>469150</t>
    <phoneticPr fontId="1" type="noConversion"/>
  </si>
  <si>
    <t>ACE AI반도체포커스</t>
    <phoneticPr fontId="1" type="noConversion"/>
  </si>
  <si>
    <t>KR7138540000</t>
    <phoneticPr fontId="1" type="noConversion"/>
  </si>
  <si>
    <t>138540</t>
    <phoneticPr fontId="1" type="noConversion"/>
  </si>
  <si>
    <t>TIGER 현대차그룹+펀더멘털</t>
    <phoneticPr fontId="1" type="noConversion"/>
  </si>
  <si>
    <t>KR7069660009</t>
    <phoneticPr fontId="1" type="noConversion"/>
  </si>
  <si>
    <t>069660</t>
    <phoneticPr fontId="1" type="noConversion"/>
  </si>
  <si>
    <t>KOSEF 200</t>
    <phoneticPr fontId="1" type="noConversion"/>
  </si>
  <si>
    <t>KR7468370002</t>
    <phoneticPr fontId="1" type="noConversion"/>
  </si>
  <si>
    <t>468370</t>
    <phoneticPr fontId="1" type="noConversion"/>
  </si>
  <si>
    <t>KODEX iShares미국인플레이션국채액티브</t>
    <phoneticPr fontId="1" type="noConversion"/>
  </si>
  <si>
    <t>KR7252400007</t>
    <phoneticPr fontId="1" type="noConversion"/>
  </si>
  <si>
    <t>252400</t>
    <phoneticPr fontId="1" type="noConversion"/>
  </si>
  <si>
    <t>KBSTAR 200선물레버리지</t>
    <phoneticPr fontId="1" type="noConversion"/>
  </si>
  <si>
    <t>KR7419420005</t>
    <phoneticPr fontId="1" type="noConversion"/>
  </si>
  <si>
    <t>419420</t>
    <phoneticPr fontId="1" type="noConversion"/>
  </si>
  <si>
    <t>KODEX 미국클린에너지나스닥</t>
    <phoneticPr fontId="1" type="noConversion"/>
  </si>
  <si>
    <t>KR7411420003</t>
    <phoneticPr fontId="1" type="noConversion"/>
  </si>
  <si>
    <t>411420</t>
    <phoneticPr fontId="1" type="noConversion"/>
  </si>
  <si>
    <t>KODEX 미국메타버스나스닥액티브</t>
    <phoneticPr fontId="1" type="noConversion"/>
  </si>
  <si>
    <t>KR7448540005</t>
    <phoneticPr fontId="1" type="noConversion"/>
  </si>
  <si>
    <t>448540</t>
    <phoneticPr fontId="1" type="noConversion"/>
  </si>
  <si>
    <t>ACE 엔비디아채권혼합블룸버그</t>
    <phoneticPr fontId="1" type="noConversion"/>
  </si>
  <si>
    <t>KR7434060000</t>
    <phoneticPr fontId="1" type="noConversion"/>
  </si>
  <si>
    <t>434060</t>
    <phoneticPr fontId="1" type="noConversion"/>
  </si>
  <si>
    <t>KODEX TDF2050액티브</t>
    <phoneticPr fontId="1" type="noConversion"/>
  </si>
  <si>
    <t>KR7395150006</t>
    <phoneticPr fontId="1" type="noConversion"/>
  </si>
  <si>
    <t>395150</t>
    <phoneticPr fontId="1" type="noConversion"/>
  </si>
  <si>
    <t>KODEX Fn웹툰&amp;드라마</t>
    <phoneticPr fontId="1" type="noConversion"/>
  </si>
  <si>
    <t>KR7304940000</t>
    <phoneticPr fontId="1" type="noConversion"/>
  </si>
  <si>
    <t>304940</t>
    <phoneticPr fontId="1" type="noConversion"/>
  </si>
  <si>
    <t>KODEX 미국나스닥100선물(H)</t>
    <phoneticPr fontId="1" type="noConversion"/>
  </si>
  <si>
    <t>KR7469830004</t>
    <phoneticPr fontId="1" type="noConversion"/>
  </si>
  <si>
    <t>469830</t>
    <phoneticPr fontId="1" type="noConversion"/>
  </si>
  <si>
    <t>SOL 초단기채권액티브</t>
    <phoneticPr fontId="1" type="noConversion"/>
  </si>
  <si>
    <t>KR7329650006</t>
    <phoneticPr fontId="1" type="noConversion"/>
  </si>
  <si>
    <t>329650</t>
    <phoneticPr fontId="1" type="noConversion"/>
  </si>
  <si>
    <t>KODEX TRF3070</t>
    <phoneticPr fontId="1" type="noConversion"/>
  </si>
  <si>
    <t>KR7455030007</t>
    <phoneticPr fontId="1" type="noConversion"/>
  </si>
  <si>
    <t>455030</t>
    <phoneticPr fontId="1" type="noConversion"/>
  </si>
  <si>
    <t>KODEX 미국달러SOFR금리액티브(합성)</t>
    <phoneticPr fontId="1" type="noConversion"/>
  </si>
  <si>
    <t>KR7275980001</t>
    <phoneticPr fontId="1" type="noConversion"/>
  </si>
  <si>
    <t>275980</t>
    <phoneticPr fontId="1" type="noConversion"/>
  </si>
  <si>
    <t>TIGER 글로벌4차산업혁신기술(합성 H)</t>
    <phoneticPr fontId="1" type="noConversion"/>
  </si>
  <si>
    <t>KR7241180009</t>
    <phoneticPr fontId="1" type="noConversion"/>
  </si>
  <si>
    <t>241180</t>
    <phoneticPr fontId="1" type="noConversion"/>
  </si>
  <si>
    <t>TIGER 일본니케이225</t>
    <phoneticPr fontId="1" type="noConversion"/>
  </si>
  <si>
    <t>KR7289480006</t>
    <phoneticPr fontId="1" type="noConversion"/>
  </si>
  <si>
    <t>289480</t>
    <phoneticPr fontId="1" type="noConversion"/>
  </si>
  <si>
    <t>TIGER 200커버드콜ATM</t>
    <phoneticPr fontId="1" type="noConversion"/>
  </si>
  <si>
    <t>KR7270810005</t>
    <phoneticPr fontId="1" type="noConversion"/>
  </si>
  <si>
    <t>270810</t>
    <phoneticPr fontId="1" type="noConversion"/>
  </si>
  <si>
    <t>KBSTAR 코스닥150</t>
    <phoneticPr fontId="1" type="noConversion"/>
  </si>
  <si>
    <t>KR7433330008</t>
    <phoneticPr fontId="1" type="noConversion"/>
  </si>
  <si>
    <t>433330</t>
    <phoneticPr fontId="1" type="noConversion"/>
  </si>
  <si>
    <t>SOL 미국S&amp;P500</t>
    <phoneticPr fontId="1" type="noConversion"/>
  </si>
  <si>
    <t>KR7422260000</t>
    <phoneticPr fontId="1" type="noConversion"/>
  </si>
  <si>
    <t>422260</t>
    <phoneticPr fontId="1" type="noConversion"/>
  </si>
  <si>
    <t>VITA MZ소비액티브</t>
    <phoneticPr fontId="1" type="noConversion"/>
  </si>
  <si>
    <t>KR7352540009</t>
    <phoneticPr fontId="1" type="noConversion"/>
  </si>
  <si>
    <t>352540</t>
    <phoneticPr fontId="1" type="noConversion"/>
  </si>
  <si>
    <t>KODEX TSE일본리츠(H)</t>
    <phoneticPr fontId="1" type="noConversion"/>
  </si>
  <si>
    <t>KR7399110006</t>
    <phoneticPr fontId="1" type="noConversion"/>
  </si>
  <si>
    <t>399110</t>
    <phoneticPr fontId="1" type="noConversion"/>
  </si>
  <si>
    <t>SOL 미국S&amp;P500ESG</t>
    <phoneticPr fontId="1" type="noConversion"/>
  </si>
  <si>
    <t>KR7448330001</t>
    <phoneticPr fontId="1" type="noConversion"/>
  </si>
  <si>
    <t>448330</t>
    <phoneticPr fontId="1" type="noConversion"/>
  </si>
  <si>
    <t>KODEX 삼성전자채권혼합Wise</t>
    <phoneticPr fontId="1" type="noConversion"/>
  </si>
  <si>
    <t>KR7214980005</t>
    <phoneticPr fontId="1" type="noConversion"/>
  </si>
  <si>
    <t>214980</t>
    <phoneticPr fontId="1" type="noConversion"/>
  </si>
  <si>
    <t>KODEX 단기채권PLUS</t>
    <phoneticPr fontId="1" type="noConversion"/>
  </si>
  <si>
    <t>KR7414270009</t>
    <phoneticPr fontId="1" type="noConversion"/>
  </si>
  <si>
    <t>414270</t>
    <phoneticPr fontId="1" type="noConversion"/>
  </si>
  <si>
    <t>ACE G2전기차&amp;자율주행액티브</t>
    <phoneticPr fontId="1" type="noConversion"/>
  </si>
  <si>
    <t>KR7456880004</t>
    <phoneticPr fontId="1" type="noConversion"/>
  </si>
  <si>
    <t>456880</t>
    <phoneticPr fontId="1" type="noConversion"/>
  </si>
  <si>
    <t>ACE 미국달러SOFR금리(합성)</t>
    <phoneticPr fontId="1" type="noConversion"/>
  </si>
  <si>
    <t>KR7465610004</t>
    <phoneticPr fontId="1" type="noConversion"/>
  </si>
  <si>
    <t>465610</t>
    <phoneticPr fontId="1" type="noConversion"/>
  </si>
  <si>
    <t>ACE 미국빅테크TOP7 Plus레버리지(합성)</t>
    <phoneticPr fontId="1" type="noConversion"/>
  </si>
  <si>
    <t>KR7245360003</t>
    <phoneticPr fontId="1" type="noConversion"/>
  </si>
  <si>
    <t>245360</t>
    <phoneticPr fontId="1" type="noConversion"/>
  </si>
  <si>
    <t>TIGER 차이나HSCEI</t>
    <phoneticPr fontId="1" type="noConversion"/>
  </si>
  <si>
    <t>KR7467620001</t>
    <phoneticPr fontId="1" type="noConversion"/>
  </si>
  <si>
    <t>467620</t>
    <phoneticPr fontId="1" type="noConversion"/>
  </si>
  <si>
    <t>히어로즈 25-09 미국채권(AA-이상)액티브</t>
    <phoneticPr fontId="1" type="noConversion"/>
  </si>
  <si>
    <t>KR7438080004</t>
    <phoneticPr fontId="1" type="noConversion"/>
  </si>
  <si>
    <t>438080</t>
    <phoneticPr fontId="1" type="noConversion"/>
  </si>
  <si>
    <t>ACE 미국S&amp;P500채권혼합액티브</t>
    <phoneticPr fontId="1" type="noConversion"/>
  </si>
  <si>
    <t>KR7326240009</t>
    <phoneticPr fontId="1" type="noConversion"/>
  </si>
  <si>
    <t>326240</t>
    <phoneticPr fontId="1" type="noConversion"/>
  </si>
  <si>
    <t>KBSTAR IT플러스</t>
    <phoneticPr fontId="1" type="noConversion"/>
  </si>
  <si>
    <t>KR7472350008</t>
    <phoneticPr fontId="1" type="noConversion"/>
  </si>
  <si>
    <t>472350</t>
    <phoneticPr fontId="1" type="noConversion"/>
  </si>
  <si>
    <t>KTOP 차이나H(H)</t>
    <phoneticPr fontId="1" type="noConversion"/>
  </si>
  <si>
    <t>KR7114260003</t>
    <phoneticPr fontId="1" type="noConversion"/>
  </si>
  <si>
    <t>114260</t>
    <phoneticPr fontId="1" type="noConversion"/>
  </si>
  <si>
    <t>KODEX 국고채3년</t>
    <phoneticPr fontId="1" type="noConversion"/>
  </si>
  <si>
    <t>KR7139240006</t>
    <phoneticPr fontId="1" type="noConversion"/>
  </si>
  <si>
    <t>139240</t>
    <phoneticPr fontId="1" type="noConversion"/>
  </si>
  <si>
    <t>TIGER 200 철강소재</t>
    <phoneticPr fontId="1" type="noConversion"/>
  </si>
  <si>
    <t>KR7461600009</t>
    <phoneticPr fontId="1" type="noConversion"/>
  </si>
  <si>
    <t>461600</t>
    <phoneticPr fontId="1" type="noConversion"/>
  </si>
  <si>
    <t>SOL 미국30년국채액티브(H)</t>
    <phoneticPr fontId="1" type="noConversion"/>
  </si>
  <si>
    <t>KR7437550007</t>
    <phoneticPr fontId="1" type="noConversion"/>
  </si>
  <si>
    <t>437550</t>
    <phoneticPr fontId="1" type="noConversion"/>
  </si>
  <si>
    <t>히어로즈 글로벌리츠이지스액티브</t>
    <phoneticPr fontId="1" type="noConversion"/>
  </si>
  <si>
    <t>KR7157450008</t>
    <phoneticPr fontId="1" type="noConversion"/>
  </si>
  <si>
    <t>157450</t>
    <phoneticPr fontId="1" type="noConversion"/>
  </si>
  <si>
    <t>TIGER 단기통안채</t>
    <phoneticPr fontId="1" type="noConversion"/>
  </si>
  <si>
    <t>KR7150460004</t>
    <phoneticPr fontId="1" type="noConversion"/>
  </si>
  <si>
    <t>150460</t>
    <phoneticPr fontId="1" type="noConversion"/>
  </si>
  <si>
    <t>TIGER 중국소비테마</t>
    <phoneticPr fontId="1" type="noConversion"/>
  </si>
  <si>
    <t>KR7225030006</t>
    <phoneticPr fontId="1" type="noConversion"/>
  </si>
  <si>
    <t>225030</t>
    <phoneticPr fontId="1" type="noConversion"/>
  </si>
  <si>
    <t>TIGER 미국S&amp;P500선물인버스(H)</t>
    <phoneticPr fontId="1" type="noConversion"/>
  </si>
  <si>
    <t>KR7334690005</t>
    <phoneticPr fontId="1" type="noConversion"/>
  </si>
  <si>
    <t>334690</t>
    <phoneticPr fontId="1" type="noConversion"/>
  </si>
  <si>
    <t>KBSTAR 팔라듐선물(H)</t>
    <phoneticPr fontId="1" type="noConversion"/>
  </si>
  <si>
    <t>KR7458260007</t>
    <phoneticPr fontId="1" type="noConversion"/>
  </si>
  <si>
    <t>458260</t>
    <phoneticPr fontId="1" type="noConversion"/>
  </si>
  <si>
    <t>TIGER 미국투자등급회사채액티브(H)</t>
    <phoneticPr fontId="1" type="noConversion"/>
  </si>
  <si>
    <t>KR7148070006</t>
    <phoneticPr fontId="1" type="noConversion"/>
  </si>
  <si>
    <t>148070</t>
    <phoneticPr fontId="1" type="noConversion"/>
  </si>
  <si>
    <t>KOSEF 국고채10년</t>
    <phoneticPr fontId="1" type="noConversion"/>
  </si>
  <si>
    <t>KR7451670004</t>
    <phoneticPr fontId="1" type="noConversion"/>
  </si>
  <si>
    <t>451670</t>
    <phoneticPr fontId="1" type="noConversion"/>
  </si>
  <si>
    <t>KBSTAR 국채30년레버리지KAP(합성)</t>
    <phoneticPr fontId="1" type="noConversion"/>
  </si>
  <si>
    <t>KR7427110002</t>
    <phoneticPr fontId="1" type="noConversion"/>
  </si>
  <si>
    <t>427110</t>
    <phoneticPr fontId="1" type="noConversion"/>
  </si>
  <si>
    <t>KBSTAR Fn창업투자회사</t>
    <phoneticPr fontId="1" type="noConversion"/>
  </si>
  <si>
    <t>KR7400590006</t>
    <phoneticPr fontId="1" type="noConversion"/>
  </si>
  <si>
    <t>400590</t>
    <phoneticPr fontId="1" type="noConversion"/>
  </si>
  <si>
    <t>SOL 글로벌탄소배출권선물ICE(합성)</t>
    <phoneticPr fontId="1" type="noConversion"/>
  </si>
  <si>
    <t>KR7284430006</t>
    <phoneticPr fontId="1" type="noConversion"/>
  </si>
  <si>
    <t>284430</t>
    <phoneticPr fontId="1" type="noConversion"/>
  </si>
  <si>
    <t>KODEX 200미국채혼합</t>
    <phoneticPr fontId="1" type="noConversion"/>
  </si>
  <si>
    <t>KR7309230001</t>
    <phoneticPr fontId="1" type="noConversion"/>
  </si>
  <si>
    <t>309230</t>
    <phoneticPr fontId="1" type="noConversion"/>
  </si>
  <si>
    <t>ACE 미국WideMoat가치주</t>
    <phoneticPr fontId="1" type="noConversion"/>
  </si>
  <si>
    <t>KR7302190004</t>
    <phoneticPr fontId="1" type="noConversion"/>
  </si>
  <si>
    <t>302190</t>
    <phoneticPr fontId="1" type="noConversion"/>
  </si>
  <si>
    <t>TIGER 중장기국채</t>
    <phoneticPr fontId="1" type="noConversion"/>
  </si>
  <si>
    <t>KR7419650007</t>
    <phoneticPr fontId="1" type="noConversion"/>
  </si>
  <si>
    <t>419650</t>
    <phoneticPr fontId="1" type="noConversion"/>
  </si>
  <si>
    <t>ARIRANG 글로벌수소&amp;차세대연료전지MV</t>
    <phoneticPr fontId="1" type="noConversion"/>
  </si>
  <si>
    <t>KR7250730009</t>
    <phoneticPr fontId="1" type="noConversion"/>
  </si>
  <si>
    <t>250730</t>
    <phoneticPr fontId="1" type="noConversion"/>
  </si>
  <si>
    <t>KBSTAR 차이나HSCEI(H)</t>
    <phoneticPr fontId="1" type="noConversion"/>
  </si>
  <si>
    <t>KR7453330003</t>
    <phoneticPr fontId="1" type="noConversion"/>
  </si>
  <si>
    <t>453330</t>
    <phoneticPr fontId="1" type="noConversion"/>
  </si>
  <si>
    <t>KBSTAR 미국S&amp;P500(H)</t>
    <phoneticPr fontId="1" type="noConversion"/>
  </si>
  <si>
    <t>KR7464230002</t>
    <phoneticPr fontId="1" type="noConversion"/>
  </si>
  <si>
    <t>464230</t>
    <phoneticPr fontId="1" type="noConversion"/>
  </si>
  <si>
    <t>히어로즈 24-09 회사채(AA-이상)액티브</t>
    <phoneticPr fontId="1" type="noConversion"/>
  </si>
  <si>
    <t>KR7205720006</t>
    <phoneticPr fontId="1" type="noConversion"/>
  </si>
  <si>
    <t>205720</t>
    <phoneticPr fontId="1" type="noConversion"/>
  </si>
  <si>
    <t>ACE 일본TOPIX인버스(합성 H)</t>
    <phoneticPr fontId="1" type="noConversion"/>
  </si>
  <si>
    <t>KR7361580004</t>
    <phoneticPr fontId="1" type="noConversion"/>
  </si>
  <si>
    <t>361580</t>
    <phoneticPr fontId="1" type="noConversion"/>
  </si>
  <si>
    <t>KBSTAR 200TR</t>
    <phoneticPr fontId="1" type="noConversion"/>
  </si>
  <si>
    <t>KR7469050009</t>
    <phoneticPr fontId="1" type="noConversion"/>
  </si>
  <si>
    <t>469050</t>
    <phoneticPr fontId="1" type="noConversion"/>
  </si>
  <si>
    <t>KBSTAR 미국반도체NYSE(H)</t>
    <phoneticPr fontId="1" type="noConversion"/>
  </si>
  <si>
    <t>KR7226980001</t>
    <phoneticPr fontId="1" type="noConversion"/>
  </si>
  <si>
    <t>226980</t>
    <phoneticPr fontId="1" type="noConversion"/>
  </si>
  <si>
    <t>KODEX 200 중소형</t>
    <phoneticPr fontId="1" type="noConversion"/>
  </si>
  <si>
    <t>KR7438570004</t>
    <phoneticPr fontId="1" type="noConversion"/>
  </si>
  <si>
    <t>438570</t>
    <phoneticPr fontId="1" type="noConversion"/>
  </si>
  <si>
    <t>SOL 국고채10년</t>
    <phoneticPr fontId="1" type="noConversion"/>
  </si>
  <si>
    <t>KR7464240001</t>
    <phoneticPr fontId="1" type="noConversion"/>
  </si>
  <si>
    <t>464240</t>
    <phoneticPr fontId="1" type="noConversion"/>
  </si>
  <si>
    <t>히어로즈 26-09 회사채(AA-이상)액티브</t>
    <phoneticPr fontId="1" type="noConversion"/>
  </si>
  <si>
    <t>KR7130730005</t>
    <phoneticPr fontId="1" type="noConversion"/>
  </si>
  <si>
    <t>130730</t>
    <phoneticPr fontId="1" type="noConversion"/>
  </si>
  <si>
    <t>KOSEF 단기자금</t>
    <phoneticPr fontId="1" type="noConversion"/>
  </si>
  <si>
    <t>KR7452440001</t>
    <phoneticPr fontId="1" type="noConversion"/>
  </si>
  <si>
    <t>452440</t>
    <phoneticPr fontId="1" type="noConversion"/>
  </si>
  <si>
    <t>VITA 밸류알파액티브</t>
    <phoneticPr fontId="1" type="noConversion"/>
  </si>
  <si>
    <t>KR7429000003</t>
    <phoneticPr fontId="1" type="noConversion"/>
  </si>
  <si>
    <t>429000</t>
    <phoneticPr fontId="1" type="noConversion"/>
  </si>
  <si>
    <t>TIGER 미국S&amp;P500배당귀족</t>
    <phoneticPr fontId="1" type="noConversion"/>
  </si>
  <si>
    <t>KR7400580007</t>
    <phoneticPr fontId="1" type="noConversion"/>
  </si>
  <si>
    <t>400580</t>
    <phoneticPr fontId="1" type="noConversion"/>
  </si>
  <si>
    <t>SOL 유럽탄소배출권선물S&amp;P(H)</t>
    <phoneticPr fontId="1" type="noConversion"/>
  </si>
  <si>
    <t>KR7445690001</t>
    <phoneticPr fontId="1" type="noConversion"/>
  </si>
  <si>
    <t>445690</t>
    <phoneticPr fontId="1" type="noConversion"/>
  </si>
  <si>
    <t>BNK 주주가치액티브</t>
    <phoneticPr fontId="1" type="noConversion"/>
  </si>
  <si>
    <t>KR7395750003</t>
    <phoneticPr fontId="1" type="noConversion"/>
  </si>
  <si>
    <t>395750</t>
    <phoneticPr fontId="1" type="noConversion"/>
  </si>
  <si>
    <t>ARIRANG ESG가치주액티브</t>
    <phoneticPr fontId="1" type="noConversion"/>
  </si>
  <si>
    <t>KR7457700003</t>
    <phoneticPr fontId="1" type="noConversion"/>
  </si>
  <si>
    <t>457700</t>
    <phoneticPr fontId="1" type="noConversion"/>
  </si>
  <si>
    <t>KODEX 53-09 국고채액티브</t>
    <phoneticPr fontId="1" type="noConversion"/>
  </si>
  <si>
    <t>KR7453820003</t>
    <phoneticPr fontId="1" type="noConversion"/>
  </si>
  <si>
    <t>453820</t>
    <phoneticPr fontId="1" type="noConversion"/>
  </si>
  <si>
    <t>KODEX 인도Nifty50레버리지(합성)</t>
    <phoneticPr fontId="1" type="noConversion"/>
  </si>
  <si>
    <t>KR7139270003</t>
    <phoneticPr fontId="1" type="noConversion"/>
  </si>
  <si>
    <t>139270</t>
    <phoneticPr fontId="1" type="noConversion"/>
  </si>
  <si>
    <t>TIGER 200 금융</t>
    <phoneticPr fontId="1" type="noConversion"/>
  </si>
  <si>
    <t>KR7449170000</t>
    <phoneticPr fontId="1" type="noConversion"/>
  </si>
  <si>
    <t>449170</t>
    <phoneticPr fontId="1" type="noConversion"/>
  </si>
  <si>
    <t>TIGER KOFR금리액티브(합성)</t>
    <phoneticPr fontId="1" type="noConversion"/>
  </si>
  <si>
    <t>KR7256440009</t>
    <phoneticPr fontId="1" type="noConversion"/>
  </si>
  <si>
    <t>256440</t>
    <phoneticPr fontId="1" type="noConversion"/>
  </si>
  <si>
    <t>ACE 인도네시아MSCI(합성)</t>
    <phoneticPr fontId="1" type="noConversion"/>
  </si>
  <si>
    <t>KR7396520009</t>
    <phoneticPr fontId="1" type="noConversion"/>
  </si>
  <si>
    <t>396520</t>
    <phoneticPr fontId="1" type="noConversion"/>
  </si>
  <si>
    <t>TIGER 차이나반도체FACTSET</t>
    <phoneticPr fontId="1" type="noConversion"/>
  </si>
  <si>
    <t>KR7225040005</t>
    <phoneticPr fontId="1" type="noConversion"/>
  </si>
  <si>
    <t>225040</t>
    <phoneticPr fontId="1" type="noConversion"/>
  </si>
  <si>
    <t>TIGER 미국S&amp;P500레버리지(합성 H)</t>
    <phoneticPr fontId="1" type="noConversion"/>
  </si>
  <si>
    <t>KR7219480001</t>
    <phoneticPr fontId="1" type="noConversion"/>
  </si>
  <si>
    <t>219480</t>
    <phoneticPr fontId="1" type="noConversion"/>
  </si>
  <si>
    <t>KODEX 미국S&amp;P500선물(H)</t>
    <phoneticPr fontId="1" type="noConversion"/>
  </si>
  <si>
    <t>KR7251350005</t>
    <phoneticPr fontId="1" type="noConversion"/>
  </si>
  <si>
    <t>251350</t>
    <phoneticPr fontId="1" type="noConversion"/>
  </si>
  <si>
    <t>KODEX 선진국MSCI World</t>
    <phoneticPr fontId="1" type="noConversion"/>
  </si>
  <si>
    <t>KR7300610003</t>
    <phoneticPr fontId="1" type="noConversion"/>
  </si>
  <si>
    <t>300610</t>
    <phoneticPr fontId="1" type="noConversion"/>
  </si>
  <si>
    <t>TIGER K게임</t>
    <phoneticPr fontId="1" type="noConversion"/>
  </si>
  <si>
    <t>KR7447660002</t>
    <phoneticPr fontId="1" type="noConversion"/>
  </si>
  <si>
    <t>447660</t>
    <phoneticPr fontId="1" type="noConversion"/>
  </si>
  <si>
    <t>ARIRANG Apple채권혼합Fn</t>
    <phoneticPr fontId="1" type="noConversion"/>
  </si>
  <si>
    <t>KR7213630007</t>
    <phoneticPr fontId="1" type="noConversion"/>
  </si>
  <si>
    <t>213630</t>
    <phoneticPr fontId="1" type="noConversion"/>
  </si>
  <si>
    <t>ARIRANG 미국다우존스고배당주(합성 H)</t>
    <phoneticPr fontId="1" type="noConversion"/>
  </si>
  <si>
    <t>KR7385720008</t>
    <phoneticPr fontId="1" type="noConversion"/>
  </si>
  <si>
    <t>385720</t>
    <phoneticPr fontId="1" type="noConversion"/>
  </si>
  <si>
    <t>TIMEFOLIO Kstock액티브</t>
    <phoneticPr fontId="1" type="noConversion"/>
  </si>
  <si>
    <t>KR7298770009</t>
    <phoneticPr fontId="1" type="noConversion"/>
  </si>
  <si>
    <t>298770</t>
    <phoneticPr fontId="1" type="noConversion"/>
  </si>
  <si>
    <t>KODEX 한국대만IT프리미어</t>
    <phoneticPr fontId="1" type="noConversion"/>
  </si>
  <si>
    <t>KR7098560006</t>
    <phoneticPr fontId="1" type="noConversion"/>
  </si>
  <si>
    <t>098560</t>
    <phoneticPr fontId="1" type="noConversion"/>
  </si>
  <si>
    <t>TIGER 방송통신</t>
    <phoneticPr fontId="1" type="noConversion"/>
  </si>
  <si>
    <t>KR7467940003</t>
    <phoneticPr fontId="1" type="noConversion"/>
  </si>
  <si>
    <t>467940</t>
    <phoneticPr fontId="1" type="noConversion"/>
  </si>
  <si>
    <t>KODEX 25-11 회사채(A+이상)액티브</t>
    <phoneticPr fontId="1" type="noConversion"/>
  </si>
  <si>
    <t>KR7471460006</t>
    <phoneticPr fontId="1" type="noConversion"/>
  </si>
  <si>
    <t>471460</t>
    <phoneticPr fontId="1" type="noConversion"/>
  </si>
  <si>
    <t>히어로즈 국고채30년액티브</t>
    <phoneticPr fontId="1" type="noConversion"/>
  </si>
  <si>
    <t>KR7371450008</t>
    <phoneticPr fontId="1" type="noConversion"/>
  </si>
  <si>
    <t>371450</t>
    <phoneticPr fontId="1" type="noConversion"/>
  </si>
  <si>
    <t>TIGER 글로벌클라우드컴퓨팅INDXX</t>
    <phoneticPr fontId="1" type="noConversion"/>
  </si>
  <si>
    <t>KR7287320006</t>
    <phoneticPr fontId="1" type="noConversion"/>
  </si>
  <si>
    <t>287320</t>
    <phoneticPr fontId="1" type="noConversion"/>
  </si>
  <si>
    <t>KBSTAR 200산업재</t>
    <phoneticPr fontId="1" type="noConversion"/>
  </si>
  <si>
    <t>KR7108450008</t>
    <phoneticPr fontId="1" type="noConversion"/>
  </si>
  <si>
    <t>108450</t>
    <phoneticPr fontId="1" type="noConversion"/>
  </si>
  <si>
    <t>ACE 삼성그룹섹터가중</t>
    <phoneticPr fontId="1" type="noConversion"/>
  </si>
  <si>
    <t>KR7253250005</t>
    <phoneticPr fontId="1" type="noConversion"/>
  </si>
  <si>
    <t>253250</t>
    <phoneticPr fontId="1" type="noConversion"/>
  </si>
  <si>
    <t>KOSEF 200선물레버리지</t>
    <phoneticPr fontId="1" type="noConversion"/>
  </si>
  <si>
    <t>KR7363580002</t>
    <phoneticPr fontId="1" type="noConversion"/>
  </si>
  <si>
    <t>363580</t>
    <phoneticPr fontId="1" type="noConversion"/>
  </si>
  <si>
    <t>KODEX 200IT TR</t>
    <phoneticPr fontId="1" type="noConversion"/>
  </si>
  <si>
    <t>KR7464470004</t>
    <phoneticPr fontId="1" type="noConversion"/>
  </si>
  <si>
    <t>464470</t>
    <phoneticPr fontId="1" type="noConversion"/>
  </si>
  <si>
    <t>ARIRANG 미국채30년액티브</t>
    <phoneticPr fontId="1" type="noConversion"/>
  </si>
  <si>
    <t>KR7367760006</t>
    <phoneticPr fontId="1" type="noConversion"/>
  </si>
  <si>
    <t>367760</t>
    <phoneticPr fontId="1" type="noConversion"/>
  </si>
  <si>
    <t>KBSTAR Fn5G테크</t>
    <phoneticPr fontId="1" type="noConversion"/>
  </si>
  <si>
    <t>KR7468820006</t>
    <phoneticPr fontId="1" type="noConversion"/>
  </si>
  <si>
    <t>468820</t>
    <phoneticPr fontId="1" type="noConversion"/>
  </si>
  <si>
    <t>WOORI 25-09 회사채(AA-이상)액티브</t>
    <phoneticPr fontId="1" type="noConversion"/>
  </si>
  <si>
    <t>KR7225800002</t>
    <phoneticPr fontId="1" type="noConversion"/>
  </si>
  <si>
    <t>225800</t>
    <phoneticPr fontId="1" type="noConversion"/>
  </si>
  <si>
    <t>KOSEF 미국달러선물레버리지</t>
    <phoneticPr fontId="1" type="noConversion"/>
  </si>
  <si>
    <t>KR7421320003</t>
    <phoneticPr fontId="1" type="noConversion"/>
  </si>
  <si>
    <t>421320</t>
    <phoneticPr fontId="1" type="noConversion"/>
  </si>
  <si>
    <t>ARIRANG 우주항공&amp;UAM iSelect</t>
    <phoneticPr fontId="1" type="noConversion"/>
  </si>
  <si>
    <t>KR7290080001</t>
    <phoneticPr fontId="1" type="noConversion"/>
  </si>
  <si>
    <t>290080</t>
    <phoneticPr fontId="1" type="noConversion"/>
  </si>
  <si>
    <t>KBSTAR 200고배당커버드콜ATM</t>
    <phoneticPr fontId="1" type="noConversion"/>
  </si>
  <si>
    <t>KR7448630004</t>
    <phoneticPr fontId="1" type="noConversion"/>
  </si>
  <si>
    <t>448630</t>
    <phoneticPr fontId="1" type="noConversion"/>
  </si>
  <si>
    <t>KBSTAR 삼성그룹Top3채권혼합블룸버그</t>
    <phoneticPr fontId="1" type="noConversion"/>
  </si>
  <si>
    <t>KR7446690000</t>
    <phoneticPr fontId="1" type="noConversion"/>
  </si>
  <si>
    <t>446690</t>
    <phoneticPr fontId="1" type="noConversion"/>
  </si>
  <si>
    <t>KODEX 아시아반도체공급망exChina액티브</t>
    <phoneticPr fontId="1" type="noConversion"/>
  </si>
  <si>
    <t>KR7453530008</t>
    <phoneticPr fontId="1" type="noConversion"/>
  </si>
  <si>
    <t>453530</t>
    <phoneticPr fontId="1" type="noConversion"/>
  </si>
  <si>
    <t>TIGER 24-04 회사채(A+이상)액티브</t>
    <phoneticPr fontId="1" type="noConversion"/>
  </si>
  <si>
    <t>KR7385520002</t>
    <phoneticPr fontId="1" type="noConversion"/>
  </si>
  <si>
    <t>385520</t>
    <phoneticPr fontId="1" type="noConversion"/>
  </si>
  <si>
    <t>KODEX K-미래차액티브</t>
    <phoneticPr fontId="1" type="noConversion"/>
  </si>
  <si>
    <t>KR7275750008</t>
    <phoneticPr fontId="1" type="noConversion"/>
  </si>
  <si>
    <t>275750</t>
    <phoneticPr fontId="1" type="noConversion"/>
  </si>
  <si>
    <t>KBSTAR 코스닥150선물인버스</t>
    <phoneticPr fontId="1" type="noConversion"/>
  </si>
  <si>
    <t>KR7276990009</t>
    <phoneticPr fontId="1" type="noConversion"/>
  </si>
  <si>
    <t>276990</t>
    <phoneticPr fontId="1" type="noConversion"/>
  </si>
  <si>
    <t>KODEX 글로벌로봇(합성)</t>
    <phoneticPr fontId="1" type="noConversion"/>
  </si>
  <si>
    <t>KR7238720007</t>
    <phoneticPr fontId="1" type="noConversion"/>
  </si>
  <si>
    <t>238720</t>
    <phoneticPr fontId="1" type="noConversion"/>
  </si>
  <si>
    <t>ACE 일본Nikkei225(H)</t>
    <phoneticPr fontId="1" type="noConversion"/>
  </si>
  <si>
    <t>KR7365780006</t>
    <phoneticPr fontId="1" type="noConversion"/>
  </si>
  <si>
    <t>365780</t>
    <phoneticPr fontId="1" type="noConversion"/>
  </si>
  <si>
    <t>ACE 국고채10년</t>
    <phoneticPr fontId="1" type="noConversion"/>
  </si>
  <si>
    <t>KR7426030003</t>
    <phoneticPr fontId="1" type="noConversion"/>
  </si>
  <si>
    <t>426030</t>
    <phoneticPr fontId="1" type="noConversion"/>
  </si>
  <si>
    <t>TIMEFOLIO 미국나스닥100액티브</t>
    <phoneticPr fontId="1" type="noConversion"/>
  </si>
  <si>
    <t>KR7276970001</t>
    <phoneticPr fontId="1" type="noConversion"/>
  </si>
  <si>
    <t>276970</t>
    <phoneticPr fontId="1" type="noConversion"/>
  </si>
  <si>
    <t>KODEX 미국S&amp;P500배당귀족커버드콜(합성 H)</t>
    <phoneticPr fontId="1" type="noConversion"/>
  </si>
  <si>
    <t>KR7245340005</t>
    <phoneticPr fontId="1" type="noConversion"/>
  </si>
  <si>
    <t>245340</t>
    <phoneticPr fontId="1" type="noConversion"/>
  </si>
  <si>
    <t>TIGER 미국다우존스30</t>
    <phoneticPr fontId="1" type="noConversion"/>
  </si>
  <si>
    <t>KR7280940008</t>
    <phoneticPr fontId="1" type="noConversion"/>
  </si>
  <si>
    <t>280940</t>
    <phoneticPr fontId="1" type="noConversion"/>
  </si>
  <si>
    <t>KODEX 골드선물인버스(H)</t>
    <phoneticPr fontId="1" type="noConversion"/>
  </si>
  <si>
    <t>KR7139280002</t>
    <phoneticPr fontId="1" type="noConversion"/>
  </si>
  <si>
    <t>139280</t>
    <phoneticPr fontId="1" type="noConversion"/>
  </si>
  <si>
    <t>TIGER 경기방어</t>
    <phoneticPr fontId="1" type="noConversion"/>
  </si>
  <si>
    <t>KR7441800000</t>
    <phoneticPr fontId="1" type="noConversion"/>
  </si>
  <si>
    <t>441800</t>
    <phoneticPr fontId="1" type="noConversion"/>
  </si>
  <si>
    <t>TIMEFOLIO Korea플러스배당액티브</t>
    <phoneticPr fontId="1" type="noConversion"/>
  </si>
  <si>
    <t>KR7453010001</t>
    <phoneticPr fontId="1" type="noConversion"/>
  </si>
  <si>
    <t>453010</t>
    <phoneticPr fontId="1" type="noConversion"/>
  </si>
  <si>
    <t>ARIRANG KOFR금리</t>
    <phoneticPr fontId="1" type="noConversion"/>
  </si>
  <si>
    <t>KR7153130000</t>
    <phoneticPr fontId="1" type="noConversion"/>
  </si>
  <si>
    <t>153130</t>
    <phoneticPr fontId="1" type="noConversion"/>
  </si>
  <si>
    <t>KODEX 단기채권</t>
    <phoneticPr fontId="1" type="noConversion"/>
  </si>
  <si>
    <t>KR7395170004</t>
    <phoneticPr fontId="1" type="noConversion"/>
  </si>
  <si>
    <t>395170</t>
    <phoneticPr fontId="1" type="noConversion"/>
  </si>
  <si>
    <t>KODEX Fn Top10동일가중</t>
    <phoneticPr fontId="1" type="noConversion"/>
  </si>
  <si>
    <t>KR7472720002</t>
    <phoneticPr fontId="1" type="noConversion"/>
  </si>
  <si>
    <t>472720</t>
    <phoneticPr fontId="1" type="noConversion"/>
  </si>
  <si>
    <t>TRUSTON 주주가치액티브</t>
    <phoneticPr fontId="1" type="noConversion"/>
  </si>
  <si>
    <t>KR7387270002</t>
    <phoneticPr fontId="1" type="noConversion"/>
  </si>
  <si>
    <t>387270</t>
    <phoneticPr fontId="1" type="noConversion"/>
  </si>
  <si>
    <t>TIGER 글로벌BBIG액티브</t>
    <phoneticPr fontId="1" type="noConversion"/>
  </si>
  <si>
    <t>KR7419430004</t>
    <phoneticPr fontId="1" type="noConversion"/>
  </si>
  <si>
    <t>419430</t>
    <phoneticPr fontId="1" type="noConversion"/>
  </si>
  <si>
    <t>KODEX 차이나2차전지MSCI(합성)</t>
    <phoneticPr fontId="1" type="noConversion"/>
  </si>
  <si>
    <t>KR7138910005</t>
    <phoneticPr fontId="1" type="noConversion"/>
  </si>
  <si>
    <t>138910</t>
    <phoneticPr fontId="1" type="noConversion"/>
  </si>
  <si>
    <t>KODEX 구리선물(H)</t>
    <phoneticPr fontId="1" type="noConversion"/>
  </si>
  <si>
    <t>KR7117460006</t>
    <phoneticPr fontId="1" type="noConversion"/>
  </si>
  <si>
    <t>117460</t>
    <phoneticPr fontId="1" type="noConversion"/>
  </si>
  <si>
    <t>KODEX 에너지화학</t>
    <phoneticPr fontId="1" type="noConversion"/>
  </si>
  <si>
    <t>KR7219900008</t>
    <phoneticPr fontId="1" type="noConversion"/>
  </si>
  <si>
    <t>219900</t>
    <phoneticPr fontId="1" type="noConversion"/>
  </si>
  <si>
    <t>ACE 중국본토CSI300레버리지(합성)</t>
    <phoneticPr fontId="1" type="noConversion"/>
  </si>
  <si>
    <t>KR7328370002</t>
    <phoneticPr fontId="1" type="noConversion"/>
  </si>
  <si>
    <t>328370</t>
    <phoneticPr fontId="1" type="noConversion"/>
  </si>
  <si>
    <t>ARIRANG 코스피TR</t>
    <phoneticPr fontId="1" type="noConversion"/>
  </si>
  <si>
    <t>KR7462340001</t>
    <phoneticPr fontId="1" type="noConversion"/>
  </si>
  <si>
    <t>462340</t>
    <phoneticPr fontId="1" type="noConversion"/>
  </si>
  <si>
    <t>에셋플러스 글로벌다이나믹시니어액티브</t>
    <phoneticPr fontId="1" type="noConversion"/>
  </si>
  <si>
    <t>KR7138530001</t>
    <phoneticPr fontId="1" type="noConversion"/>
  </si>
  <si>
    <t>138530</t>
    <phoneticPr fontId="1" type="noConversion"/>
  </si>
  <si>
    <t>TIGER LG그룹+펀더멘털</t>
    <phoneticPr fontId="1" type="noConversion"/>
  </si>
  <si>
    <t>KR7460960008</t>
    <phoneticPr fontId="1" type="noConversion"/>
  </si>
  <si>
    <t>460960</t>
    <phoneticPr fontId="1" type="noConversion"/>
  </si>
  <si>
    <t>ACE 글로벌인컴TOP10 SOLACTIVE</t>
    <phoneticPr fontId="1" type="noConversion"/>
  </si>
  <si>
    <t>KR7310970009</t>
    <phoneticPr fontId="1" type="noConversion"/>
  </si>
  <si>
    <t>310970</t>
    <phoneticPr fontId="1" type="noConversion"/>
  </si>
  <si>
    <t>TIGER MSCI Korea TR</t>
    <phoneticPr fontId="1" type="noConversion"/>
  </si>
  <si>
    <t>KR7315960005</t>
    <phoneticPr fontId="1" type="noConversion"/>
  </si>
  <si>
    <t>315960</t>
    <phoneticPr fontId="1" type="noConversion"/>
  </si>
  <si>
    <t>KBSTAR 대형고배당10TR</t>
    <phoneticPr fontId="1" type="noConversion"/>
  </si>
  <si>
    <t>KR7466810009</t>
    <phoneticPr fontId="1" type="noConversion"/>
  </si>
  <si>
    <t>466810</t>
    <phoneticPr fontId="1" type="noConversion"/>
  </si>
  <si>
    <t>BNK 2차전지양극재</t>
    <phoneticPr fontId="1" type="noConversion"/>
  </si>
  <si>
    <t>KR7227540002</t>
    <phoneticPr fontId="1" type="noConversion"/>
  </si>
  <si>
    <t>227540</t>
    <phoneticPr fontId="1" type="noConversion"/>
  </si>
  <si>
    <t>TIGER 200 헬스케어</t>
    <phoneticPr fontId="1" type="noConversion"/>
  </si>
  <si>
    <t>KR7269540001</t>
    <phoneticPr fontId="1" type="noConversion"/>
  </si>
  <si>
    <t>269540</t>
    <phoneticPr fontId="1" type="noConversion"/>
  </si>
  <si>
    <t>ARIRANG 미국S&amp;P500(H)</t>
    <phoneticPr fontId="1" type="noConversion"/>
  </si>
  <si>
    <t>KR7195970009</t>
    <phoneticPr fontId="1" type="noConversion"/>
  </si>
  <si>
    <t>195970</t>
    <phoneticPr fontId="1" type="noConversion"/>
  </si>
  <si>
    <t>ARIRANG 선진국MSCI(합성 H)</t>
    <phoneticPr fontId="1" type="noConversion"/>
  </si>
  <si>
    <t>KR7463680009</t>
    <phoneticPr fontId="1" type="noConversion"/>
  </si>
  <si>
    <t>463680</t>
    <phoneticPr fontId="1" type="noConversion"/>
  </si>
  <si>
    <t>KODEX 미국S&amp;P500테크놀로지</t>
    <phoneticPr fontId="1" type="noConversion"/>
  </si>
  <si>
    <t>KR7456250000</t>
    <phoneticPr fontId="1" type="noConversion"/>
  </si>
  <si>
    <t>456250</t>
    <phoneticPr fontId="1" type="noConversion"/>
  </si>
  <si>
    <t>KODEX 유럽명품TOP10 STOXX</t>
    <phoneticPr fontId="1" type="noConversion"/>
  </si>
  <si>
    <t>KR7354350001</t>
    <phoneticPr fontId="1" type="noConversion"/>
  </si>
  <si>
    <t>354350</t>
    <phoneticPr fontId="1" type="noConversion"/>
  </si>
  <si>
    <t>HANARO 글로벌럭셔리S&amp;P(합성)</t>
    <phoneticPr fontId="1" type="noConversion"/>
  </si>
  <si>
    <t>KR7319640009</t>
    <phoneticPr fontId="1" type="noConversion"/>
  </si>
  <si>
    <t>319640</t>
    <phoneticPr fontId="1" type="noConversion"/>
  </si>
  <si>
    <t>TIGER 골드선물(H)</t>
    <phoneticPr fontId="1" type="noConversion"/>
  </si>
  <si>
    <t>KR7213610009</t>
    <phoneticPr fontId="1" type="noConversion"/>
  </si>
  <si>
    <t>213610</t>
    <phoneticPr fontId="1" type="noConversion"/>
  </si>
  <si>
    <t>KODEX 삼성그룹밸류</t>
    <phoneticPr fontId="1" type="noConversion"/>
  </si>
  <si>
    <t>KR7267440006</t>
    <phoneticPr fontId="1" type="noConversion"/>
  </si>
  <si>
    <t>267440</t>
    <phoneticPr fontId="1" type="noConversion"/>
  </si>
  <si>
    <t>KBSTAR 미국장기국채선물(H)</t>
    <phoneticPr fontId="1" type="noConversion"/>
  </si>
  <si>
    <t>KR7379790009</t>
    <phoneticPr fontId="1" type="noConversion"/>
  </si>
  <si>
    <t>379790</t>
    <phoneticPr fontId="1" type="noConversion"/>
  </si>
  <si>
    <t>KBSTAR 유로스탁스50(H)</t>
    <phoneticPr fontId="1" type="noConversion"/>
  </si>
  <si>
    <t>KR7453950008</t>
    <phoneticPr fontId="1" type="noConversion"/>
  </si>
  <si>
    <t>453950</t>
    <phoneticPr fontId="1" type="noConversion"/>
  </si>
  <si>
    <t>TIGER TSMC밸류체인FACTSET</t>
    <phoneticPr fontId="1" type="noConversion"/>
  </si>
  <si>
    <t>KR7427120001</t>
    <phoneticPr fontId="1" type="noConversion"/>
  </si>
  <si>
    <t>427120</t>
    <phoneticPr fontId="1" type="noConversion"/>
  </si>
  <si>
    <t>KBSTAR Fn플랫폼테마</t>
    <phoneticPr fontId="1" type="noConversion"/>
  </si>
  <si>
    <t>KR7466950003</t>
    <phoneticPr fontId="1" type="noConversion"/>
  </si>
  <si>
    <t>466950</t>
    <phoneticPr fontId="1" type="noConversion"/>
  </si>
  <si>
    <t>TIGER 글로벌AI액티브</t>
    <phoneticPr fontId="1" type="noConversion"/>
  </si>
  <si>
    <t>KR7101280006</t>
    <phoneticPr fontId="1" type="noConversion"/>
  </si>
  <si>
    <t>101280</t>
    <phoneticPr fontId="1" type="noConversion"/>
  </si>
  <si>
    <t>KODEX 일본TOPIX100</t>
    <phoneticPr fontId="1" type="noConversion"/>
  </si>
  <si>
    <t>KR7273130005</t>
    <phoneticPr fontId="1" type="noConversion"/>
  </si>
  <si>
    <t>273130</t>
    <phoneticPr fontId="1" type="noConversion"/>
  </si>
  <si>
    <t>KODEX 종합채권(AA-이상)액티브</t>
    <phoneticPr fontId="1" type="noConversion"/>
  </si>
  <si>
    <t>KR7450120001</t>
    <phoneticPr fontId="1" type="noConversion"/>
  </si>
  <si>
    <t>450120</t>
    <phoneticPr fontId="1" type="noConversion"/>
  </si>
  <si>
    <t>KOSEF SK그룹대표주</t>
    <phoneticPr fontId="1" type="noConversion"/>
  </si>
  <si>
    <t>KR7261120000</t>
    <phoneticPr fontId="1" type="noConversion"/>
  </si>
  <si>
    <t>261120</t>
    <phoneticPr fontId="1" type="noConversion"/>
  </si>
  <si>
    <t>TIGER 미국달러선물인버스2X</t>
    <phoneticPr fontId="1" type="noConversion"/>
  </si>
  <si>
    <t>KR7451540009</t>
    <phoneticPr fontId="1" type="noConversion"/>
  </si>
  <si>
    <t>451540</t>
    <phoneticPr fontId="1" type="noConversion"/>
  </si>
  <si>
    <t>TIGER 종합채권(AA-이상)액티브</t>
    <phoneticPr fontId="1" type="noConversion"/>
  </si>
  <si>
    <t>KR7453080004</t>
    <phoneticPr fontId="1" type="noConversion"/>
  </si>
  <si>
    <t>453080</t>
    <phoneticPr fontId="1" type="noConversion"/>
  </si>
  <si>
    <t>KOSEF 미국나스닥100(H)</t>
    <phoneticPr fontId="1" type="noConversion"/>
  </si>
  <si>
    <t>KR7251600003</t>
    <phoneticPr fontId="1" type="noConversion"/>
  </si>
  <si>
    <t>251600</t>
    <phoneticPr fontId="1" type="noConversion"/>
  </si>
  <si>
    <t>ARIRANG 고배당주채권혼합</t>
    <phoneticPr fontId="1" type="noConversion"/>
  </si>
  <si>
    <t>KR7457990000</t>
    <phoneticPr fontId="1" type="noConversion"/>
  </si>
  <si>
    <t>457990</t>
    <phoneticPr fontId="1" type="noConversion"/>
  </si>
  <si>
    <t>ARIRANG 태양광&amp;ESS Fn</t>
    <phoneticPr fontId="1" type="noConversion"/>
  </si>
  <si>
    <t>KR7399580000</t>
    <phoneticPr fontId="1" type="noConversion"/>
  </si>
  <si>
    <t>399580</t>
    <phoneticPr fontId="1" type="noConversion"/>
  </si>
  <si>
    <t>KBSTAR 글로벌클린에너지S&amp;P</t>
    <phoneticPr fontId="1" type="noConversion"/>
  </si>
  <si>
    <t>KR7203780002</t>
    <phoneticPr fontId="1" type="noConversion"/>
  </si>
  <si>
    <t>203780</t>
    <phoneticPr fontId="1" type="noConversion"/>
  </si>
  <si>
    <t>TIGER 미국나스닥바이오</t>
    <phoneticPr fontId="1" type="noConversion"/>
  </si>
  <si>
    <t>KR7266410000</t>
    <phoneticPr fontId="1" type="noConversion"/>
  </si>
  <si>
    <t>266410</t>
    <phoneticPr fontId="1" type="noConversion"/>
  </si>
  <si>
    <t>KODEX 필수소비재</t>
    <phoneticPr fontId="1" type="noConversion"/>
  </si>
  <si>
    <t>KR7211900006</t>
    <phoneticPr fontId="1" type="noConversion"/>
  </si>
  <si>
    <t>211900</t>
    <phoneticPr fontId="1" type="noConversion"/>
  </si>
  <si>
    <t>KODEX 배당성장</t>
    <phoneticPr fontId="1" type="noConversion"/>
  </si>
  <si>
    <t>KR7315930008</t>
    <phoneticPr fontId="1" type="noConversion"/>
  </si>
  <si>
    <t>315930</t>
    <phoneticPr fontId="1" type="noConversion"/>
  </si>
  <si>
    <t>KODEX Top5PlusTR</t>
    <phoneticPr fontId="1" type="noConversion"/>
  </si>
  <si>
    <t>KR7223190000</t>
    <phoneticPr fontId="1" type="noConversion"/>
  </si>
  <si>
    <t>223190</t>
    <phoneticPr fontId="1" type="noConversion"/>
  </si>
  <si>
    <t>KODEX 200가치저변동</t>
    <phoneticPr fontId="1" type="noConversion"/>
  </si>
  <si>
    <t>KR7407830009</t>
    <phoneticPr fontId="1" type="noConversion"/>
  </si>
  <si>
    <t>407830</t>
    <phoneticPr fontId="1" type="noConversion"/>
  </si>
  <si>
    <t>에셋플러스 글로벌플랫폼액티브</t>
    <phoneticPr fontId="1" type="noConversion"/>
  </si>
  <si>
    <t>KR7371470006</t>
    <phoneticPr fontId="1" type="noConversion"/>
  </si>
  <si>
    <t>371470</t>
    <phoneticPr fontId="1" type="noConversion"/>
  </si>
  <si>
    <t>TIGER 차이나바이오테크SOLACTIVE</t>
    <phoneticPr fontId="1" type="noConversion"/>
  </si>
  <si>
    <t>KR7469160006</t>
    <phoneticPr fontId="1" type="noConversion"/>
  </si>
  <si>
    <t>469160</t>
    <phoneticPr fontId="1" type="noConversion"/>
  </si>
  <si>
    <t>ACE 일본반도체</t>
    <phoneticPr fontId="1" type="noConversion"/>
  </si>
  <si>
    <t>KR7439870007</t>
    <phoneticPr fontId="1" type="noConversion"/>
  </si>
  <si>
    <t>439870</t>
    <phoneticPr fontId="1" type="noConversion"/>
  </si>
  <si>
    <t>KODEX 국고채30년액티브</t>
    <phoneticPr fontId="1" type="noConversion"/>
  </si>
  <si>
    <t>KR7461490005</t>
    <phoneticPr fontId="1" type="noConversion"/>
  </si>
  <si>
    <t>461490</t>
    <phoneticPr fontId="1" type="noConversion"/>
  </si>
  <si>
    <t>KBSTAR 글로벌자산배분액티브</t>
    <phoneticPr fontId="1" type="noConversion"/>
  </si>
  <si>
    <t>KR7325020006</t>
    <phoneticPr fontId="1" type="noConversion"/>
  </si>
  <si>
    <t>325020</t>
    <phoneticPr fontId="1" type="noConversion"/>
  </si>
  <si>
    <t>KODEX 배당가치</t>
    <phoneticPr fontId="1" type="noConversion"/>
  </si>
  <si>
    <t>KR7466930005</t>
    <phoneticPr fontId="1" type="noConversion"/>
  </si>
  <si>
    <t>466930</t>
    <phoneticPr fontId="1" type="noConversion"/>
  </si>
  <si>
    <t>SOL 자동차TOP3플러스</t>
    <phoneticPr fontId="1" type="noConversion"/>
  </si>
  <si>
    <t>KR7225130004</t>
    <phoneticPr fontId="1" type="noConversion"/>
  </si>
  <si>
    <t>225130</t>
    <phoneticPr fontId="1" type="noConversion"/>
  </si>
  <si>
    <t>ACE 골드선물 레버리지(합성 H)</t>
    <phoneticPr fontId="1" type="noConversion"/>
  </si>
  <si>
    <t>KR7237370002</t>
    <phoneticPr fontId="1" type="noConversion"/>
  </si>
  <si>
    <t>237370</t>
    <phoneticPr fontId="1" type="noConversion"/>
  </si>
  <si>
    <t>KODEX 배당성장채권혼합</t>
    <phoneticPr fontId="1" type="noConversion"/>
  </si>
  <si>
    <t>KR7381570001</t>
    <phoneticPr fontId="1" type="noConversion"/>
  </si>
  <si>
    <t>381570</t>
    <phoneticPr fontId="1" type="noConversion"/>
  </si>
  <si>
    <t>HANARO Fn친환경에너지</t>
    <phoneticPr fontId="1" type="noConversion"/>
  </si>
  <si>
    <t>KR7272580002</t>
    <phoneticPr fontId="1" type="noConversion"/>
  </si>
  <si>
    <t>272580</t>
    <phoneticPr fontId="1" type="noConversion"/>
  </si>
  <si>
    <t>TIGER 단기채권액티브</t>
    <phoneticPr fontId="1" type="noConversion"/>
  </si>
  <si>
    <t>KR7306530007</t>
    <phoneticPr fontId="1" type="noConversion"/>
  </si>
  <si>
    <t>306530</t>
    <phoneticPr fontId="1" type="noConversion"/>
  </si>
  <si>
    <t>HANARO 코스닥150선물레버리지</t>
    <phoneticPr fontId="1" type="noConversion"/>
  </si>
  <si>
    <t>KR7266370006</t>
    <phoneticPr fontId="1" type="noConversion"/>
  </si>
  <si>
    <t>266370</t>
    <phoneticPr fontId="1" type="noConversion"/>
  </si>
  <si>
    <t>KODEX IT</t>
    <phoneticPr fontId="1" type="noConversion"/>
  </si>
  <si>
    <t>KR7287180004</t>
    <phoneticPr fontId="1" type="noConversion"/>
  </si>
  <si>
    <t>287180</t>
    <phoneticPr fontId="1" type="noConversion"/>
  </si>
  <si>
    <t>ARIRANG 미국나스닥테크</t>
    <phoneticPr fontId="1" type="noConversion"/>
  </si>
  <si>
    <t>KR7253280002</t>
    <phoneticPr fontId="1" type="noConversion"/>
  </si>
  <si>
    <t>253280</t>
    <phoneticPr fontId="1" type="noConversion"/>
  </si>
  <si>
    <t>KBSTAR 헬스케어</t>
    <phoneticPr fontId="1" type="noConversion"/>
  </si>
  <si>
    <t>KR7291130003</t>
    <phoneticPr fontId="1" type="noConversion"/>
  </si>
  <si>
    <t>291130</t>
    <phoneticPr fontId="1" type="noConversion"/>
  </si>
  <si>
    <t>ACE 멕시코MSCI(합성)</t>
    <phoneticPr fontId="1" type="noConversion"/>
  </si>
  <si>
    <t>KR7459560009</t>
    <phoneticPr fontId="1" type="noConversion"/>
  </si>
  <si>
    <t>459560</t>
    <phoneticPr fontId="1" type="noConversion"/>
  </si>
  <si>
    <t>KODEX 테슬라밸류체인FactSet</t>
    <phoneticPr fontId="1" type="noConversion"/>
  </si>
  <si>
    <t>KR7457690006</t>
    <phoneticPr fontId="1" type="noConversion"/>
  </si>
  <si>
    <t>457690</t>
    <phoneticPr fontId="1" type="noConversion"/>
  </si>
  <si>
    <t>KODEX 33-06 국고채액티브</t>
    <phoneticPr fontId="1" type="noConversion"/>
  </si>
  <si>
    <t>KR7387280001</t>
    <phoneticPr fontId="1" type="noConversion"/>
  </si>
  <si>
    <t>387280</t>
    <phoneticPr fontId="1" type="noConversion"/>
  </si>
  <si>
    <t>TIGER 퓨처모빌리티액티브</t>
    <phoneticPr fontId="1" type="noConversion"/>
  </si>
  <si>
    <t>KR7287330005</t>
    <phoneticPr fontId="1" type="noConversion"/>
  </si>
  <si>
    <t>287330</t>
    <phoneticPr fontId="1" type="noConversion"/>
  </si>
  <si>
    <t>KBSTAR 200생활소비재</t>
    <phoneticPr fontId="1" type="noConversion"/>
  </si>
  <si>
    <t>KR7448600007</t>
    <phoneticPr fontId="1" type="noConversion"/>
  </si>
  <si>
    <t>448600</t>
    <phoneticPr fontId="1" type="noConversion"/>
  </si>
  <si>
    <t>KBSTAR 25-11 회사채(AA-이상)액티브</t>
    <phoneticPr fontId="1" type="noConversion"/>
  </si>
  <si>
    <t>KR7453640005</t>
    <phoneticPr fontId="1" type="noConversion"/>
  </si>
  <si>
    <t>453640</t>
    <phoneticPr fontId="1" type="noConversion"/>
  </si>
  <si>
    <t>KODEX 미국S&amp;P500헬스케어</t>
    <phoneticPr fontId="1" type="noConversion"/>
  </si>
  <si>
    <t>KR7371870007</t>
    <phoneticPr fontId="1" type="noConversion"/>
  </si>
  <si>
    <t>371870</t>
    <phoneticPr fontId="1" type="noConversion"/>
  </si>
  <si>
    <t>ACE 차이나항셍테크</t>
    <phoneticPr fontId="1" type="noConversion"/>
  </si>
  <si>
    <t>KR7415920008</t>
    <phoneticPr fontId="1" type="noConversion"/>
  </si>
  <si>
    <t>415920</t>
    <phoneticPr fontId="1" type="noConversion"/>
  </si>
  <si>
    <t>ARIRANG 글로벌희토류전략자원기업MV</t>
    <phoneticPr fontId="1" type="noConversion"/>
  </si>
  <si>
    <t>KR7279530000</t>
    <phoneticPr fontId="1" type="noConversion"/>
  </si>
  <si>
    <t>279530</t>
    <phoneticPr fontId="1" type="noConversion"/>
  </si>
  <si>
    <t>KODEX 고배당</t>
    <phoneticPr fontId="1" type="noConversion"/>
  </si>
  <si>
    <t>KR7456610005</t>
    <phoneticPr fontId="1" type="noConversion"/>
  </si>
  <si>
    <t>456610</t>
    <phoneticPr fontId="1" type="noConversion"/>
  </si>
  <si>
    <t>TIGER 미국달러SOFR금리액티브(합성)</t>
    <phoneticPr fontId="1" type="noConversion"/>
  </si>
  <si>
    <t>KR7251590006</t>
    <phoneticPr fontId="1" type="noConversion"/>
  </si>
  <si>
    <t>251590</t>
    <phoneticPr fontId="1" type="noConversion"/>
  </si>
  <si>
    <t>ARIRANG 고배당저변동50</t>
    <phoneticPr fontId="1" type="noConversion"/>
  </si>
  <si>
    <t>KR7390400000</t>
    <phoneticPr fontId="1" type="noConversion"/>
  </si>
  <si>
    <t>390400</t>
    <phoneticPr fontId="1" type="noConversion"/>
  </si>
  <si>
    <t>KODEX 미국스마트모빌리티S&amp;P</t>
    <phoneticPr fontId="1" type="noConversion"/>
  </si>
  <si>
    <t>KR7160580007</t>
    <phoneticPr fontId="1" type="noConversion"/>
  </si>
  <si>
    <t>160580</t>
    <phoneticPr fontId="1" type="noConversion"/>
  </si>
  <si>
    <t>TIGER 구리실물</t>
    <phoneticPr fontId="1" type="noConversion"/>
  </si>
  <si>
    <t>KR7253290001</t>
    <phoneticPr fontId="1" type="noConversion"/>
  </si>
  <si>
    <t>253290</t>
    <phoneticPr fontId="1" type="noConversion"/>
  </si>
  <si>
    <t>KBSTAR 헬스케어채권혼합</t>
    <phoneticPr fontId="1" type="noConversion"/>
  </si>
  <si>
    <t>KR7346000003</t>
    <phoneticPr fontId="1" type="noConversion"/>
  </si>
  <si>
    <t>346000</t>
    <phoneticPr fontId="1" type="noConversion"/>
  </si>
  <si>
    <t>HANARO KAP초장기국고채</t>
    <phoneticPr fontId="1" type="noConversion"/>
  </si>
  <si>
    <t>KR7440340008</t>
    <phoneticPr fontId="1" type="noConversion"/>
  </si>
  <si>
    <t>440340</t>
    <phoneticPr fontId="1" type="noConversion"/>
  </si>
  <si>
    <t>TIGER 글로벌멀티에셋TIF액티브</t>
    <phoneticPr fontId="1" type="noConversion"/>
  </si>
  <si>
    <t>KR7185680006</t>
    <phoneticPr fontId="1" type="noConversion"/>
  </si>
  <si>
    <t>185680</t>
    <phoneticPr fontId="1" type="noConversion"/>
  </si>
  <si>
    <t>KODEX 미국S&amp;P바이오(합성)</t>
    <phoneticPr fontId="1" type="noConversion"/>
  </si>
  <si>
    <t>KR7354240004</t>
    <phoneticPr fontId="1" type="noConversion"/>
  </si>
  <si>
    <t>354240</t>
    <phoneticPr fontId="1" type="noConversion"/>
  </si>
  <si>
    <t>KBSTAR 미국고정배당우선증권ICE TR</t>
    <phoneticPr fontId="1" type="noConversion"/>
  </si>
  <si>
    <t>KR7174360008</t>
    <phoneticPr fontId="1" type="noConversion"/>
  </si>
  <si>
    <t>174360</t>
    <phoneticPr fontId="1" type="noConversion"/>
  </si>
  <si>
    <t>KBSTAR 중국본토대형주CSI100</t>
    <phoneticPr fontId="1" type="noConversion"/>
  </si>
  <si>
    <t>KR7152380002</t>
    <phoneticPr fontId="1" type="noConversion"/>
  </si>
  <si>
    <t>152380</t>
    <phoneticPr fontId="1" type="noConversion"/>
  </si>
  <si>
    <t>KODEX 국채선물10년</t>
    <phoneticPr fontId="1" type="noConversion"/>
  </si>
  <si>
    <t>KR7236350005</t>
    <phoneticPr fontId="1" type="noConversion"/>
  </si>
  <si>
    <t>236350</t>
    <phoneticPr fontId="1" type="noConversion"/>
  </si>
  <si>
    <t>TIGER 인도니프티50레버리지(합성)</t>
    <phoneticPr fontId="1" type="noConversion"/>
  </si>
  <si>
    <t>KR7442320008</t>
    <phoneticPr fontId="1" type="noConversion"/>
  </si>
  <si>
    <t>442320</t>
    <phoneticPr fontId="1" type="noConversion"/>
  </si>
  <si>
    <t>KBSTAR 글로벌원자력iSelect</t>
    <phoneticPr fontId="1" type="noConversion"/>
  </si>
  <si>
    <t>KR7310960000</t>
    <phoneticPr fontId="1" type="noConversion"/>
  </si>
  <si>
    <t>310960</t>
    <phoneticPr fontId="1" type="noConversion"/>
  </si>
  <si>
    <t>TIGER 200TR</t>
    <phoneticPr fontId="1" type="noConversion"/>
  </si>
  <si>
    <t>KR7456100007</t>
    <phoneticPr fontId="1" type="noConversion"/>
  </si>
  <si>
    <t>456100</t>
    <phoneticPr fontId="1" type="noConversion"/>
  </si>
  <si>
    <t>HANARO 유로존국채25년플러스(합성 H)</t>
    <phoneticPr fontId="1" type="noConversion"/>
  </si>
  <si>
    <t>KR7261110001</t>
    <phoneticPr fontId="1" type="noConversion"/>
  </si>
  <si>
    <t>261110</t>
    <phoneticPr fontId="1" type="noConversion"/>
  </si>
  <si>
    <t>TIGER 미국달러선물레버리지</t>
    <phoneticPr fontId="1" type="noConversion"/>
  </si>
  <si>
    <t>KR7371150004</t>
    <phoneticPr fontId="1" type="noConversion"/>
  </si>
  <si>
    <t>371150</t>
    <phoneticPr fontId="1" type="noConversion"/>
  </si>
  <si>
    <t>KBSTAR 차이나항셍테크</t>
    <phoneticPr fontId="1" type="noConversion"/>
  </si>
  <si>
    <t>KR7464600006</t>
    <phoneticPr fontId="1" type="noConversion"/>
  </si>
  <si>
    <t>464600</t>
    <phoneticPr fontId="1" type="noConversion"/>
  </si>
  <si>
    <t>SOL 자동차소부장Fn</t>
    <phoneticPr fontId="1" type="noConversion"/>
  </si>
  <si>
    <t>KR7243880002</t>
    <phoneticPr fontId="1" type="noConversion"/>
  </si>
  <si>
    <t>243880</t>
    <phoneticPr fontId="1" type="noConversion"/>
  </si>
  <si>
    <t>TIGER 200IT레버리지</t>
    <phoneticPr fontId="1" type="noConversion"/>
  </si>
  <si>
    <t>KR7227570009</t>
    <phoneticPr fontId="1" type="noConversion"/>
  </si>
  <si>
    <t>227570</t>
    <phoneticPr fontId="1" type="noConversion"/>
  </si>
  <si>
    <t>TIGER 우량가치</t>
    <phoneticPr fontId="1" type="noConversion"/>
  </si>
  <si>
    <t>KR7306950007</t>
    <phoneticPr fontId="1" type="noConversion"/>
  </si>
  <si>
    <t>306950</t>
    <phoneticPr fontId="1" type="noConversion"/>
  </si>
  <si>
    <t>KODEX KRX300레버리지</t>
    <phoneticPr fontId="1" type="noConversion"/>
  </si>
  <si>
    <t>KR7332620004</t>
    <phoneticPr fontId="1" type="noConversion"/>
  </si>
  <si>
    <t>332620</t>
    <phoneticPr fontId="1" type="noConversion"/>
  </si>
  <si>
    <t>ARIRANG 미국장기우량회사채</t>
    <phoneticPr fontId="1" type="noConversion"/>
  </si>
  <si>
    <t>KR7461260002</t>
    <phoneticPr fontId="1" type="noConversion"/>
  </si>
  <si>
    <t>461260</t>
    <phoneticPr fontId="1" type="noConversion"/>
  </si>
  <si>
    <t>ACE 25-06 회사채(AA-이상)액티브</t>
    <phoneticPr fontId="1" type="noConversion"/>
  </si>
  <si>
    <t>KR7438100000</t>
    <phoneticPr fontId="1" type="noConversion"/>
  </si>
  <si>
    <t>438100</t>
    <phoneticPr fontId="1" type="noConversion"/>
  </si>
  <si>
    <t>ACE 미국나스닥100채권혼합액티브</t>
    <phoneticPr fontId="1" type="noConversion"/>
  </si>
  <si>
    <t>KR7329660005</t>
    <phoneticPr fontId="1" type="noConversion"/>
  </si>
  <si>
    <t>329660</t>
    <phoneticPr fontId="1" type="noConversion"/>
  </si>
  <si>
    <t>KODEX TRF5050</t>
    <phoneticPr fontId="1" type="noConversion"/>
  </si>
  <si>
    <t>KR7463690008</t>
    <phoneticPr fontId="1" type="noConversion"/>
  </si>
  <si>
    <t>463690</t>
    <phoneticPr fontId="1" type="noConversion"/>
  </si>
  <si>
    <t>KODEX 미국S&amp;P500통신서비스</t>
    <phoneticPr fontId="1" type="noConversion"/>
  </si>
  <si>
    <t>KR7174350009</t>
    <phoneticPr fontId="1" type="noConversion"/>
  </si>
  <si>
    <t>174350</t>
    <phoneticPr fontId="1" type="noConversion"/>
  </si>
  <si>
    <t>TIGER 로우볼</t>
    <phoneticPr fontId="1" type="noConversion"/>
  </si>
  <si>
    <t>KR7464060003</t>
    <phoneticPr fontId="1" type="noConversion"/>
  </si>
  <si>
    <t>464060</t>
    <phoneticPr fontId="1" type="noConversion"/>
  </si>
  <si>
    <t>HANARO 글로벌반도체TOP10 SOLACTIVE</t>
    <phoneticPr fontId="1" type="noConversion"/>
  </si>
  <si>
    <t>KR7138520002</t>
    <phoneticPr fontId="1" type="noConversion"/>
  </si>
  <si>
    <t>138520</t>
    <phoneticPr fontId="1" type="noConversion"/>
  </si>
  <si>
    <t>TIGER 삼성그룹펀더멘털</t>
    <phoneticPr fontId="1" type="noConversion"/>
  </si>
  <si>
    <t>KR7380340000</t>
    <phoneticPr fontId="1" type="noConversion"/>
  </si>
  <si>
    <t>380340</t>
    <phoneticPr fontId="1" type="noConversion"/>
  </si>
  <si>
    <t>ACE Fn5G플러스</t>
    <phoneticPr fontId="1" type="noConversion"/>
  </si>
  <si>
    <t>KR7371130006</t>
    <phoneticPr fontId="1" type="noConversion"/>
  </si>
  <si>
    <t>371130</t>
    <phoneticPr fontId="1" type="noConversion"/>
  </si>
  <si>
    <t>ACE 베트남VN30선물블룸버그레버리지(H)</t>
    <phoneticPr fontId="1" type="noConversion"/>
  </si>
  <si>
    <t>KR7275300002</t>
    <phoneticPr fontId="1" type="noConversion"/>
  </si>
  <si>
    <t>275300</t>
    <phoneticPr fontId="1" type="noConversion"/>
  </si>
  <si>
    <t>KODEX MSCI퀄리티</t>
    <phoneticPr fontId="1" type="noConversion"/>
  </si>
  <si>
    <t>KR7442580007</t>
    <phoneticPr fontId="1" type="noConversion"/>
  </si>
  <si>
    <t>442580</t>
    <phoneticPr fontId="1" type="noConversion"/>
  </si>
  <si>
    <t>ARIRANG 글로벌D램반도체iSelect</t>
    <phoneticPr fontId="1" type="noConversion"/>
  </si>
  <si>
    <t>KR7381560002</t>
    <phoneticPr fontId="1" type="noConversion"/>
  </si>
  <si>
    <t>381560</t>
    <phoneticPr fontId="1" type="noConversion"/>
  </si>
  <si>
    <t>HANARO Fn전기&amp;수소차</t>
    <phoneticPr fontId="1" type="noConversion"/>
  </si>
  <si>
    <t>KR7354500001</t>
    <phoneticPr fontId="1" type="noConversion"/>
  </si>
  <si>
    <t>354500</t>
    <phoneticPr fontId="1" type="noConversion"/>
  </si>
  <si>
    <t>ACE 코스닥150</t>
    <phoneticPr fontId="1" type="noConversion"/>
  </si>
  <si>
    <t>KR7465670008</t>
    <phoneticPr fontId="1" type="noConversion"/>
  </si>
  <si>
    <t>465670</t>
    <phoneticPr fontId="1" type="noConversion"/>
  </si>
  <si>
    <t>TIGER 미국캐시카우100</t>
    <phoneticPr fontId="1" type="noConversion"/>
  </si>
  <si>
    <t>KR7211560008</t>
    <phoneticPr fontId="1" type="noConversion"/>
  </si>
  <si>
    <t>211560</t>
    <phoneticPr fontId="1" type="noConversion"/>
  </si>
  <si>
    <t>TIGER 배당성장</t>
    <phoneticPr fontId="1" type="noConversion"/>
  </si>
  <si>
    <t>KR7437080005</t>
    <phoneticPr fontId="1" type="noConversion"/>
  </si>
  <si>
    <t>437080</t>
    <phoneticPr fontId="1" type="noConversion"/>
  </si>
  <si>
    <t>KODEX 미국종합채권SRI액티브(H)</t>
    <phoneticPr fontId="1" type="noConversion"/>
  </si>
  <si>
    <t>KR7391600004</t>
    <phoneticPr fontId="1" type="noConversion"/>
  </si>
  <si>
    <t>391600</t>
    <phoneticPr fontId="1" type="noConversion"/>
  </si>
  <si>
    <t>ACE 미국친환경그린테마INDXX</t>
    <phoneticPr fontId="1" type="noConversion"/>
  </si>
  <si>
    <t>KR7105010003</t>
    <phoneticPr fontId="1" type="noConversion"/>
  </si>
  <si>
    <t>105010</t>
    <phoneticPr fontId="1" type="noConversion"/>
  </si>
  <si>
    <t>TIGER 라틴35</t>
    <phoneticPr fontId="1" type="noConversion"/>
  </si>
  <si>
    <t>KR7117690008</t>
    <phoneticPr fontId="1" type="noConversion"/>
  </si>
  <si>
    <t>117690</t>
    <phoneticPr fontId="1" type="noConversion"/>
  </si>
  <si>
    <t>TIGER 차이나항셍25</t>
    <phoneticPr fontId="1" type="noConversion"/>
  </si>
  <si>
    <t>KR7277630000</t>
    <phoneticPr fontId="1" type="noConversion"/>
  </si>
  <si>
    <t>277630</t>
    <phoneticPr fontId="1" type="noConversion"/>
  </si>
  <si>
    <t>TIGER 코스피</t>
    <phoneticPr fontId="1" type="noConversion"/>
  </si>
  <si>
    <t>KR7145670006</t>
    <phoneticPr fontId="1" type="noConversion"/>
  </si>
  <si>
    <t>145670</t>
    <phoneticPr fontId="1" type="noConversion"/>
  </si>
  <si>
    <t>ACE 인버스</t>
    <phoneticPr fontId="1" type="noConversion"/>
  </si>
  <si>
    <t>KR7407820000</t>
    <phoneticPr fontId="1" type="noConversion"/>
  </si>
  <si>
    <t>407820</t>
    <phoneticPr fontId="1" type="noConversion"/>
  </si>
  <si>
    <t>에셋플러스 코리아플랫폼액티브</t>
    <phoneticPr fontId="1" type="noConversion"/>
  </si>
  <si>
    <t>KR7410870000</t>
    <phoneticPr fontId="1" type="noConversion"/>
  </si>
  <si>
    <t>410870</t>
    <phoneticPr fontId="1" type="noConversion"/>
  </si>
  <si>
    <t>TIMEFOLIO K컬처액티브</t>
    <phoneticPr fontId="1" type="noConversion"/>
  </si>
  <si>
    <t>KR7426150009</t>
    <phoneticPr fontId="1" type="noConversion"/>
  </si>
  <si>
    <t>426150</t>
    <phoneticPr fontId="1" type="noConversion"/>
  </si>
  <si>
    <t>WOORI 대한민국국고채액티브</t>
    <phoneticPr fontId="1" type="noConversion"/>
  </si>
  <si>
    <t>KR7306520008</t>
    <phoneticPr fontId="1" type="noConversion"/>
  </si>
  <si>
    <t>306520</t>
    <phoneticPr fontId="1" type="noConversion"/>
  </si>
  <si>
    <t>HANARO 200선물인버스</t>
    <phoneticPr fontId="1" type="noConversion"/>
  </si>
  <si>
    <t>KR7395280001</t>
    <phoneticPr fontId="1" type="noConversion"/>
  </si>
  <si>
    <t>395280</t>
    <phoneticPr fontId="1" type="noConversion"/>
  </si>
  <si>
    <t>HANARO Fn K-게임</t>
    <phoneticPr fontId="1" type="noConversion"/>
  </si>
  <si>
    <t>KR7461910002</t>
    <phoneticPr fontId="1" type="noConversion"/>
  </si>
  <si>
    <t>461910</t>
    <phoneticPr fontId="1" type="noConversion"/>
  </si>
  <si>
    <t>ARIRANG 미국테크10레버리지iSelect(합성)</t>
    <phoneticPr fontId="1" type="noConversion"/>
  </si>
  <si>
    <t>KR7460660004</t>
    <phoneticPr fontId="1" type="noConversion"/>
  </si>
  <si>
    <t>460660</t>
    <phoneticPr fontId="1" type="noConversion"/>
  </si>
  <si>
    <t>KBSTAR 미국S&amp;P배당킹</t>
    <phoneticPr fontId="1" type="noConversion"/>
  </si>
  <si>
    <t>KR7195930003</t>
    <phoneticPr fontId="1" type="noConversion"/>
  </si>
  <si>
    <t>195930</t>
    <phoneticPr fontId="1" type="noConversion"/>
  </si>
  <si>
    <t>TIGER 유로스탁스50(합성 H)</t>
    <phoneticPr fontId="1" type="noConversion"/>
  </si>
  <si>
    <t>KR7220130009</t>
    <phoneticPr fontId="1" type="noConversion"/>
  </si>
  <si>
    <t>220130</t>
    <phoneticPr fontId="1" type="noConversion"/>
  </si>
  <si>
    <t>SOL 차이나강소기업CSI500(합성 H)</t>
    <phoneticPr fontId="1" type="noConversion"/>
  </si>
  <si>
    <t>KR7237350004</t>
    <phoneticPr fontId="1" type="noConversion"/>
  </si>
  <si>
    <t>237350</t>
    <phoneticPr fontId="1" type="noConversion"/>
  </si>
  <si>
    <t>KODEX 코스피100</t>
    <phoneticPr fontId="1" type="noConversion"/>
  </si>
  <si>
    <t>KR7137610002</t>
    <phoneticPr fontId="1" type="noConversion"/>
  </si>
  <si>
    <t>137610</t>
    <phoneticPr fontId="1" type="noConversion"/>
  </si>
  <si>
    <t>TIGER 농산물선물Enhanced(H)</t>
    <phoneticPr fontId="1" type="noConversion"/>
  </si>
  <si>
    <t>KR7455660001</t>
    <phoneticPr fontId="1" type="noConversion"/>
  </si>
  <si>
    <t>455660</t>
    <phoneticPr fontId="1" type="noConversion"/>
  </si>
  <si>
    <t>ACE 미국하이일드액티브(H)</t>
    <phoneticPr fontId="1" type="noConversion"/>
  </si>
  <si>
    <t>KR7210780003</t>
    <phoneticPr fontId="1" type="noConversion"/>
  </si>
  <si>
    <t>210780</t>
    <phoneticPr fontId="1" type="noConversion"/>
  </si>
  <si>
    <t>TIGER 코스피고배당</t>
    <phoneticPr fontId="1" type="noConversion"/>
  </si>
  <si>
    <t>KR7413220005</t>
    <phoneticPr fontId="1" type="noConversion"/>
  </si>
  <si>
    <t>413220</t>
    <phoneticPr fontId="1" type="noConversion"/>
  </si>
  <si>
    <t>SOL 차이나태양광CSI(합성)</t>
    <phoneticPr fontId="1" type="noConversion"/>
  </si>
  <si>
    <t>KR7316670009</t>
    <phoneticPr fontId="1" type="noConversion"/>
  </si>
  <si>
    <t>316670</t>
    <phoneticPr fontId="1" type="noConversion"/>
  </si>
  <si>
    <t>KOSEF 코스닥150</t>
    <phoneticPr fontId="1" type="noConversion"/>
  </si>
  <si>
    <t>KR7442570008</t>
    <phoneticPr fontId="1" type="noConversion"/>
  </si>
  <si>
    <t>442570</t>
    <phoneticPr fontId="1" type="noConversion"/>
  </si>
  <si>
    <t>KBSTAR TDF2050액티브</t>
    <phoneticPr fontId="1" type="noConversion"/>
  </si>
  <si>
    <t>KR7291620003</t>
    <phoneticPr fontId="1" type="noConversion"/>
  </si>
  <si>
    <t>291620</t>
    <phoneticPr fontId="1" type="noConversion"/>
  </si>
  <si>
    <t>KOSEF 코스닥150선물인버스</t>
    <phoneticPr fontId="1" type="noConversion"/>
  </si>
  <si>
    <t>KR7411050008</t>
    <phoneticPr fontId="1" type="noConversion"/>
  </si>
  <si>
    <t>411050</t>
    <phoneticPr fontId="1" type="noConversion"/>
  </si>
  <si>
    <t>ACE 글로벌메타버스테크액티브</t>
    <phoneticPr fontId="1" type="noConversion"/>
  </si>
  <si>
    <t>KR7448880005</t>
    <phoneticPr fontId="1" type="noConversion"/>
  </si>
  <si>
    <t>448880</t>
    <phoneticPr fontId="1" type="noConversion"/>
  </si>
  <si>
    <t>ACE 24-12 회사채(AA-이상)액티브</t>
    <phoneticPr fontId="1" type="noConversion"/>
  </si>
  <si>
    <t>KR7469060008</t>
    <phoneticPr fontId="1" type="noConversion"/>
  </si>
  <si>
    <t>469060</t>
    <phoneticPr fontId="1" type="noConversion"/>
  </si>
  <si>
    <t>KBSTAR 미국반도체NYSE</t>
    <phoneticPr fontId="1" type="noConversion"/>
  </si>
  <si>
    <t>KR7433970001</t>
    <phoneticPr fontId="1" type="noConversion"/>
  </si>
  <si>
    <t>433970</t>
    <phoneticPr fontId="1" type="noConversion"/>
  </si>
  <si>
    <t>KODEX TDF2030액티브</t>
    <phoneticPr fontId="1" type="noConversion"/>
  </si>
  <si>
    <t>KR7230480006</t>
    <phoneticPr fontId="1" type="noConversion"/>
  </si>
  <si>
    <t>230480</t>
    <phoneticPr fontId="1" type="noConversion"/>
  </si>
  <si>
    <t>KOSEF 미국달러선물인버스2X</t>
    <phoneticPr fontId="1" type="noConversion"/>
  </si>
  <si>
    <t>KR7329670004</t>
    <phoneticPr fontId="1" type="noConversion"/>
  </si>
  <si>
    <t>329670</t>
    <phoneticPr fontId="1" type="noConversion"/>
  </si>
  <si>
    <t>KODEX TRF7030</t>
    <phoneticPr fontId="1" type="noConversion"/>
  </si>
  <si>
    <t>KR7434730008</t>
    <phoneticPr fontId="1" type="noConversion"/>
  </si>
  <si>
    <t>434730</t>
    <phoneticPr fontId="1" type="noConversion"/>
  </si>
  <si>
    <t>HANARO 원자력iSelect</t>
    <phoneticPr fontId="1" type="noConversion"/>
  </si>
  <si>
    <t>KR7435040001</t>
    <phoneticPr fontId="1" type="noConversion"/>
  </si>
  <si>
    <t>435040</t>
    <phoneticPr fontId="1" type="noConversion"/>
  </si>
  <si>
    <t>ACE 글로벌브랜드TOP10블룸버그</t>
    <phoneticPr fontId="1" type="noConversion"/>
  </si>
  <si>
    <t>KR7453650004</t>
    <phoneticPr fontId="1" type="noConversion"/>
  </si>
  <si>
    <t>453650</t>
    <phoneticPr fontId="1" type="noConversion"/>
  </si>
  <si>
    <t>KODEX 미국S&amp;P500금융</t>
    <phoneticPr fontId="1" type="noConversion"/>
  </si>
  <si>
    <t>KR7105190003</t>
    <phoneticPr fontId="1" type="noConversion"/>
  </si>
  <si>
    <t>105190</t>
    <phoneticPr fontId="1" type="noConversion"/>
  </si>
  <si>
    <t>ACE 200</t>
    <phoneticPr fontId="1" type="noConversion"/>
  </si>
  <si>
    <t>KR7444490007</t>
    <phoneticPr fontId="1" type="noConversion"/>
  </si>
  <si>
    <t>444490</t>
    <phoneticPr fontId="1" type="noConversion"/>
  </si>
  <si>
    <t>WOORI 미국S&amp;P500</t>
    <phoneticPr fontId="1" type="noConversion"/>
  </si>
  <si>
    <t>KR7385550009</t>
    <phoneticPr fontId="1" type="noConversion"/>
  </si>
  <si>
    <t>385550</t>
    <phoneticPr fontId="1" type="noConversion"/>
  </si>
  <si>
    <t>KBSTAR 단기종합채권(AA-이상)액티브</t>
    <phoneticPr fontId="1" type="noConversion"/>
  </si>
  <si>
    <t>KR7448510008</t>
    <phoneticPr fontId="1" type="noConversion"/>
  </si>
  <si>
    <t>448510</t>
    <phoneticPr fontId="1" type="noConversion"/>
  </si>
  <si>
    <t>HANARO 글로벌신재생에너지MSCI(합성)</t>
    <phoneticPr fontId="1" type="noConversion"/>
  </si>
  <si>
    <t>KR7271060006</t>
    <phoneticPr fontId="1" type="noConversion"/>
  </si>
  <si>
    <t>271060</t>
    <phoneticPr fontId="1" type="noConversion"/>
  </si>
  <si>
    <t>KODEX 3대농산물선물(H)</t>
    <phoneticPr fontId="1" type="noConversion"/>
  </si>
  <si>
    <t>KR7304780000</t>
    <phoneticPr fontId="1" type="noConversion"/>
  </si>
  <si>
    <t>304780</t>
    <phoneticPr fontId="1" type="noConversion"/>
  </si>
  <si>
    <t>HANARO 200선물레버리지</t>
    <phoneticPr fontId="1" type="noConversion"/>
  </si>
  <si>
    <t>KR7388280000</t>
    <phoneticPr fontId="1" type="noConversion"/>
  </si>
  <si>
    <t>388280</t>
    <phoneticPr fontId="1" type="noConversion"/>
  </si>
  <si>
    <t>KBSTAR Fn컨택트대표</t>
    <phoneticPr fontId="1" type="noConversion"/>
  </si>
  <si>
    <t>KR7276650009</t>
    <phoneticPr fontId="1" type="noConversion"/>
  </si>
  <si>
    <t>276650</t>
    <phoneticPr fontId="1" type="noConversion"/>
  </si>
  <si>
    <t>KBSTAR 글로벌4차산업IT(합성 H)</t>
    <phoneticPr fontId="1" type="noConversion"/>
  </si>
  <si>
    <t>KR7341850006</t>
    <phoneticPr fontId="1" type="noConversion"/>
  </si>
  <si>
    <t>341850</t>
    <phoneticPr fontId="1" type="noConversion"/>
  </si>
  <si>
    <t>TIGER 리츠부동산인프라채권TR KIS</t>
    <phoneticPr fontId="1" type="noConversion"/>
  </si>
  <si>
    <t>KR7444200000</t>
    <phoneticPr fontId="1" type="noConversion"/>
  </si>
  <si>
    <t>444200</t>
    <phoneticPr fontId="1" type="noConversion"/>
  </si>
  <si>
    <t>SOL KEDI메가테크액티브</t>
    <phoneticPr fontId="1" type="noConversion"/>
  </si>
  <si>
    <t>KR7228820007</t>
    <phoneticPr fontId="1" type="noConversion"/>
  </si>
  <si>
    <t>228820</t>
    <phoneticPr fontId="1" type="noConversion"/>
  </si>
  <si>
    <t>TIGER KTOP30</t>
    <phoneticPr fontId="1" type="noConversion"/>
  </si>
  <si>
    <t>KR7277640009</t>
    <phoneticPr fontId="1" type="noConversion"/>
  </si>
  <si>
    <t>277640</t>
    <phoneticPr fontId="1" type="noConversion"/>
  </si>
  <si>
    <t>TIGER 코스피대형주</t>
    <phoneticPr fontId="1" type="noConversion"/>
  </si>
  <si>
    <t>KR7270800006</t>
    <phoneticPr fontId="1" type="noConversion"/>
  </si>
  <si>
    <t>270800</t>
    <phoneticPr fontId="1" type="noConversion"/>
  </si>
  <si>
    <t>KBSTAR KQ고배당</t>
    <phoneticPr fontId="1" type="noConversion"/>
  </si>
  <si>
    <t>KR7417450004</t>
    <phoneticPr fontId="1" type="noConversion"/>
  </si>
  <si>
    <t>417450</t>
    <phoneticPr fontId="1" type="noConversion"/>
  </si>
  <si>
    <t>KBSTAR 글로벌수소경제Indxx</t>
    <phoneticPr fontId="1" type="noConversion"/>
  </si>
  <si>
    <t>KR7256750001</t>
    <phoneticPr fontId="1" type="noConversion"/>
  </si>
  <si>
    <t>256750</t>
    <phoneticPr fontId="1" type="noConversion"/>
  </si>
  <si>
    <t>KODEX 차이나심천ChiNext(합성)</t>
    <phoneticPr fontId="1" type="noConversion"/>
  </si>
  <si>
    <t>KR7284980000</t>
    <phoneticPr fontId="1" type="noConversion"/>
  </si>
  <si>
    <t>284980</t>
    <phoneticPr fontId="1" type="noConversion"/>
  </si>
  <si>
    <t>KBSTAR 200금융</t>
    <phoneticPr fontId="1" type="noConversion"/>
  </si>
  <si>
    <t>KR7360140008</t>
    <phoneticPr fontId="1" type="noConversion"/>
  </si>
  <si>
    <t>360140</t>
    <phoneticPr fontId="1" type="noConversion"/>
  </si>
  <si>
    <t>KODEX 200롱코스닥150숏선물</t>
    <phoneticPr fontId="1" type="noConversion"/>
  </si>
  <si>
    <t>KR7301410007</t>
    <phoneticPr fontId="1" type="noConversion"/>
  </si>
  <si>
    <t>301410</t>
    <phoneticPr fontId="1" type="noConversion"/>
  </si>
  <si>
    <t>ARIRANG 코스닥150선물인버스</t>
    <phoneticPr fontId="1" type="noConversion"/>
  </si>
  <si>
    <t>KR7182490003</t>
    <phoneticPr fontId="1" type="noConversion"/>
  </si>
  <si>
    <t>182490</t>
    <phoneticPr fontId="1" type="noConversion"/>
  </si>
  <si>
    <t>TIGER 단기선진하이일드(합성 H)</t>
    <phoneticPr fontId="1" type="noConversion"/>
  </si>
  <si>
    <t>KR7429740004</t>
    <phoneticPr fontId="1" type="noConversion"/>
  </si>
  <si>
    <t>429740</t>
    <phoneticPr fontId="1" type="noConversion"/>
  </si>
  <si>
    <t>ARIRANG K리츠Fn</t>
    <phoneticPr fontId="1" type="noConversion"/>
  </si>
  <si>
    <t>KR7470260001</t>
    <phoneticPr fontId="1" type="noConversion"/>
  </si>
  <si>
    <t>470260</t>
    <phoneticPr fontId="1" type="noConversion"/>
  </si>
  <si>
    <t>TIGER 24-12 금융채(AA-이상)</t>
    <phoneticPr fontId="1" type="noConversion"/>
  </si>
  <si>
    <t>KR7418670006</t>
    <phoneticPr fontId="1" type="noConversion"/>
  </si>
  <si>
    <t>418670</t>
    <phoneticPr fontId="1" type="noConversion"/>
  </si>
  <si>
    <t>TIGER 글로벌사이버보안INDXX</t>
    <phoneticPr fontId="1" type="noConversion"/>
  </si>
  <si>
    <t>KR7437350002</t>
    <phoneticPr fontId="1" type="noConversion"/>
  </si>
  <si>
    <t>437350</t>
    <phoneticPr fontId="1" type="noConversion"/>
  </si>
  <si>
    <t>KBSTAR 미국단기투자등급회사채액티브</t>
    <phoneticPr fontId="1" type="noConversion"/>
  </si>
  <si>
    <t>KR7453630006</t>
    <phoneticPr fontId="1" type="noConversion"/>
  </si>
  <si>
    <t>453630</t>
    <phoneticPr fontId="1" type="noConversion"/>
  </si>
  <si>
    <t>KODEX 미국S&amp;P500필수소비재</t>
    <phoneticPr fontId="1" type="noConversion"/>
  </si>
  <si>
    <t>KR7277650008</t>
    <phoneticPr fontId="1" type="noConversion"/>
  </si>
  <si>
    <t>277650</t>
    <phoneticPr fontId="1" type="noConversion"/>
  </si>
  <si>
    <t>TIGER 코스피중형주</t>
    <phoneticPr fontId="1" type="noConversion"/>
  </si>
  <si>
    <t>KR7237440003</t>
    <phoneticPr fontId="1" type="noConversion"/>
  </si>
  <si>
    <t>237440</t>
    <phoneticPr fontId="1" type="noConversion"/>
  </si>
  <si>
    <t>TIGER 경기방어채권혼합</t>
    <phoneticPr fontId="1" type="noConversion"/>
  </si>
  <si>
    <t>KR7307510008</t>
    <phoneticPr fontId="1" type="noConversion"/>
  </si>
  <si>
    <t>307510</t>
    <phoneticPr fontId="1" type="noConversion"/>
  </si>
  <si>
    <t>TIGER 의료기기</t>
    <phoneticPr fontId="1" type="noConversion"/>
  </si>
  <si>
    <t>KR7332500008</t>
    <phoneticPr fontId="1" type="noConversion"/>
  </si>
  <si>
    <t>332500</t>
    <phoneticPr fontId="1" type="noConversion"/>
  </si>
  <si>
    <t>ACE 200TR</t>
    <phoneticPr fontId="1" type="noConversion"/>
  </si>
  <si>
    <t>KR7368190005</t>
    <phoneticPr fontId="1" type="noConversion"/>
  </si>
  <si>
    <t>368190</t>
    <phoneticPr fontId="1" type="noConversion"/>
  </si>
  <si>
    <t>HANARO Fn K-뉴딜디지털플러스</t>
    <phoneticPr fontId="1" type="noConversion"/>
  </si>
  <si>
    <t>KR7337160006</t>
    <phoneticPr fontId="1" type="noConversion"/>
  </si>
  <si>
    <t>337160</t>
    <phoneticPr fontId="1" type="noConversion"/>
  </si>
  <si>
    <t>KODEX 200ESG</t>
    <phoneticPr fontId="1" type="noConversion"/>
  </si>
  <si>
    <t>KR7244620001</t>
    <phoneticPr fontId="1" type="noConversion"/>
  </si>
  <si>
    <t>244620</t>
    <phoneticPr fontId="1" type="noConversion"/>
  </si>
  <si>
    <t>KODEX 모멘텀Plus</t>
    <phoneticPr fontId="1" type="noConversion"/>
  </si>
  <si>
    <t>KR7310080007</t>
    <phoneticPr fontId="1" type="noConversion"/>
  </si>
  <si>
    <t>310080</t>
    <phoneticPr fontId="1" type="noConversion"/>
  </si>
  <si>
    <t>KBSTAR 중국MSCI China(H)</t>
    <phoneticPr fontId="1" type="noConversion"/>
  </si>
  <si>
    <t>KR7411720006</t>
    <phoneticPr fontId="1" type="noConversion"/>
  </si>
  <si>
    <t>411720</t>
    <phoneticPr fontId="1" type="noConversion"/>
  </si>
  <si>
    <t>KBSTAR 글로벌메타버스Moorgate</t>
    <phoneticPr fontId="1" type="noConversion"/>
  </si>
  <si>
    <t>KR7402460000</t>
    <phoneticPr fontId="1" type="noConversion"/>
  </si>
  <si>
    <t>402460</t>
    <phoneticPr fontId="1" type="noConversion"/>
  </si>
  <si>
    <t>HANARO Fn K-메타버스MZ</t>
    <phoneticPr fontId="1" type="noConversion"/>
  </si>
  <si>
    <t>KR7429990005</t>
    <phoneticPr fontId="1" type="noConversion"/>
  </si>
  <si>
    <t>429990</t>
    <phoneticPr fontId="1" type="noConversion"/>
  </si>
  <si>
    <t>SOL 한국형글로벌플랫폼&amp;메타버스액티브</t>
    <phoneticPr fontId="1" type="noConversion"/>
  </si>
  <si>
    <t>KR7433980000</t>
    <phoneticPr fontId="1" type="noConversion"/>
  </si>
  <si>
    <t>433980</t>
    <phoneticPr fontId="1" type="noConversion"/>
  </si>
  <si>
    <t>KODEX TDF2040액티브</t>
    <phoneticPr fontId="1" type="noConversion"/>
  </si>
  <si>
    <t>KR7190620005</t>
    <phoneticPr fontId="1" type="noConversion"/>
  </si>
  <si>
    <t>190620</t>
    <phoneticPr fontId="1" type="noConversion"/>
  </si>
  <si>
    <t>ACE 단기통안채</t>
    <phoneticPr fontId="1" type="noConversion"/>
  </si>
  <si>
    <t>KR7261140008</t>
    <phoneticPr fontId="1" type="noConversion"/>
  </si>
  <si>
    <t>261140</t>
    <phoneticPr fontId="1" type="noConversion"/>
  </si>
  <si>
    <t>TIGER 우선주</t>
    <phoneticPr fontId="1" type="noConversion"/>
  </si>
  <si>
    <t>KR7139310007</t>
    <phoneticPr fontId="1" type="noConversion"/>
  </si>
  <si>
    <t>139310</t>
    <phoneticPr fontId="1" type="noConversion"/>
  </si>
  <si>
    <t>TIGER 금속선물(H)</t>
    <phoneticPr fontId="1" type="noConversion"/>
  </si>
  <si>
    <t>KR7461340002</t>
    <phoneticPr fontId="1" type="noConversion"/>
  </si>
  <si>
    <t>461340</t>
    <phoneticPr fontId="1" type="noConversion"/>
  </si>
  <si>
    <t>HANARO 글로벌생성형AI액티브</t>
    <phoneticPr fontId="1" type="noConversion"/>
  </si>
  <si>
    <t>KR7442090007</t>
    <phoneticPr fontId="1" type="noConversion"/>
  </si>
  <si>
    <t>442090</t>
    <phoneticPr fontId="1" type="noConversion"/>
  </si>
  <si>
    <t>에셋플러스 코리아대장장이액티브</t>
    <phoneticPr fontId="1" type="noConversion"/>
  </si>
  <si>
    <t>KR7433880002</t>
    <phoneticPr fontId="1" type="noConversion"/>
  </si>
  <si>
    <t>433880</t>
    <phoneticPr fontId="1" type="noConversion"/>
  </si>
  <si>
    <t>ARIRANG TDF2060액티브</t>
    <phoneticPr fontId="1" type="noConversion"/>
  </si>
  <si>
    <t>KR7438210007</t>
    <phoneticPr fontId="1" type="noConversion"/>
  </si>
  <si>
    <t>438210</t>
    <phoneticPr fontId="1" type="noConversion"/>
  </si>
  <si>
    <t>ARIRANG 글로벌인공지능산업MV</t>
    <phoneticPr fontId="1" type="noConversion"/>
  </si>
  <si>
    <t>KR7440640001</t>
    <phoneticPr fontId="1" type="noConversion"/>
  </si>
  <si>
    <t>440640</t>
    <phoneticPr fontId="1" type="noConversion"/>
  </si>
  <si>
    <t>ACE 단기채권알파액티브</t>
    <phoneticPr fontId="1" type="noConversion"/>
  </si>
  <si>
    <t>KR7302450002</t>
    <phoneticPr fontId="1" type="noConversion"/>
  </si>
  <si>
    <t>302450</t>
    <phoneticPr fontId="1" type="noConversion"/>
  </si>
  <si>
    <t>KBSTAR 코스피</t>
    <phoneticPr fontId="1" type="noConversion"/>
  </si>
  <si>
    <t>KR7429980006</t>
    <phoneticPr fontId="1" type="noConversion"/>
  </si>
  <si>
    <t>429980</t>
    <phoneticPr fontId="1" type="noConversion"/>
  </si>
  <si>
    <t>SOL 한국형글로벌전기차&amp;2차전지액티브</t>
    <phoneticPr fontId="1" type="noConversion"/>
  </si>
  <si>
    <t>KR7248270001</t>
    <phoneticPr fontId="1" type="noConversion"/>
  </si>
  <si>
    <t>248270</t>
    <phoneticPr fontId="1" type="noConversion"/>
  </si>
  <si>
    <t>TIGER S&amp;P글로벌헬스케어(합성)</t>
    <phoneticPr fontId="1" type="noConversion"/>
  </si>
  <si>
    <t>KR7440910008</t>
    <phoneticPr fontId="1" type="noConversion"/>
  </si>
  <si>
    <t>440910</t>
    <phoneticPr fontId="1" type="noConversion"/>
  </si>
  <si>
    <t>WOORI 미국S&amp;P우주항공&amp;디펜스</t>
    <phoneticPr fontId="1" type="noConversion"/>
  </si>
  <si>
    <t>KR7428560007</t>
    <phoneticPr fontId="1" type="noConversion"/>
  </si>
  <si>
    <t>428560</t>
    <phoneticPr fontId="1" type="noConversion"/>
  </si>
  <si>
    <t>KODEX 미국ETF산업Top10 Indxx</t>
    <phoneticPr fontId="1" type="noConversion"/>
  </si>
  <si>
    <t>KR7429760002</t>
    <phoneticPr fontId="1" type="noConversion"/>
  </si>
  <si>
    <t>429760</t>
    <phoneticPr fontId="1" type="noConversion"/>
  </si>
  <si>
    <t>ARIRANG 미국S&amp;P500</t>
    <phoneticPr fontId="1" type="noConversion"/>
  </si>
  <si>
    <t>KR7139320006</t>
    <phoneticPr fontId="1" type="noConversion"/>
  </si>
  <si>
    <t>139320</t>
    <phoneticPr fontId="1" type="noConversion"/>
  </si>
  <si>
    <t>TIGER 금은선물(H)</t>
    <phoneticPr fontId="1" type="noConversion"/>
  </si>
  <si>
    <t>KR7278540000</t>
    <phoneticPr fontId="1" type="noConversion"/>
  </si>
  <si>
    <t>278540</t>
    <phoneticPr fontId="1" type="noConversion"/>
  </si>
  <si>
    <t>KODEX MSCI Korea TR</t>
    <phoneticPr fontId="1" type="noConversion"/>
  </si>
  <si>
    <t>KR7245350004</t>
    <phoneticPr fontId="1" type="noConversion"/>
  </si>
  <si>
    <t>245350</t>
    <phoneticPr fontId="1" type="noConversion"/>
  </si>
  <si>
    <t>TIGER 유로스탁스배당30</t>
    <phoneticPr fontId="1" type="noConversion"/>
  </si>
  <si>
    <t>KR7460280001</t>
    <phoneticPr fontId="1" type="noConversion"/>
  </si>
  <si>
    <t>460280</t>
    <phoneticPr fontId="1" type="noConversion"/>
  </si>
  <si>
    <t>KOSEF Fn유전자혁신기술</t>
    <phoneticPr fontId="1" type="noConversion"/>
  </si>
  <si>
    <t>KR7376410007</t>
    <phoneticPr fontId="1" type="noConversion"/>
  </si>
  <si>
    <t>376410</t>
    <phoneticPr fontId="1" type="noConversion"/>
  </si>
  <si>
    <t>TIGER 탄소효율그린뉴딜</t>
    <phoneticPr fontId="1" type="noConversion"/>
  </si>
  <si>
    <t>KR7241390004</t>
    <phoneticPr fontId="1" type="noConversion"/>
  </si>
  <si>
    <t>241390</t>
    <phoneticPr fontId="1" type="noConversion"/>
  </si>
  <si>
    <t>KBSTAR V&amp;S셀렉트밸류채권혼합</t>
    <phoneticPr fontId="1" type="noConversion"/>
  </si>
  <si>
    <t>KR7157500000</t>
    <phoneticPr fontId="1" type="noConversion"/>
  </si>
  <si>
    <t>157500</t>
    <phoneticPr fontId="1" type="noConversion"/>
  </si>
  <si>
    <t>TIGER 증권</t>
    <phoneticPr fontId="1" type="noConversion"/>
  </si>
  <si>
    <t>KR7225060003</t>
    <phoneticPr fontId="1" type="noConversion"/>
  </si>
  <si>
    <t>225060</t>
    <phoneticPr fontId="1" type="noConversion"/>
  </si>
  <si>
    <t>TIGER 이머징마켓MSCI레버리지(합성 H)</t>
    <phoneticPr fontId="1" type="noConversion"/>
  </si>
  <si>
    <t>KR7334700002</t>
    <phoneticPr fontId="1" type="noConversion"/>
  </si>
  <si>
    <t>334700</t>
    <phoneticPr fontId="1" type="noConversion"/>
  </si>
  <si>
    <t>KBSTAR 팔라듐선물인버스(H)</t>
    <phoneticPr fontId="1" type="noConversion"/>
  </si>
  <si>
    <t>KR7104530001</t>
    <phoneticPr fontId="1" type="noConversion"/>
  </si>
  <si>
    <t>104530</t>
    <phoneticPr fontId="1" type="noConversion"/>
  </si>
  <si>
    <t>KOSEF 고배당</t>
    <phoneticPr fontId="1" type="noConversion"/>
  </si>
  <si>
    <t>KR7449770007</t>
    <phoneticPr fontId="1" type="noConversion"/>
  </si>
  <si>
    <t>449770</t>
    <phoneticPr fontId="1" type="noConversion"/>
  </si>
  <si>
    <t>KOSEF 미국S&amp;P500</t>
    <phoneticPr fontId="1" type="noConversion"/>
  </si>
  <si>
    <t>KR7276000007</t>
    <phoneticPr fontId="1" type="noConversion"/>
  </si>
  <si>
    <t>276000</t>
    <phoneticPr fontId="1" type="noConversion"/>
  </si>
  <si>
    <t>TIGER 글로벌자원생산기업(합성 H)</t>
    <phoneticPr fontId="1" type="noConversion"/>
  </si>
  <si>
    <t>KR7404540007</t>
    <phoneticPr fontId="1" type="noConversion"/>
  </si>
  <si>
    <t>404540</t>
    <phoneticPr fontId="1" type="noConversion"/>
  </si>
  <si>
    <t>TIGER KRX기후변화솔루션</t>
    <phoneticPr fontId="1" type="noConversion"/>
  </si>
  <si>
    <t>KR7292190006</t>
    <phoneticPr fontId="1" type="noConversion"/>
  </si>
  <si>
    <t>292190</t>
    <phoneticPr fontId="1" type="noConversion"/>
  </si>
  <si>
    <t>KODEX KRX300</t>
    <phoneticPr fontId="1" type="noConversion"/>
  </si>
  <si>
    <t>KR7166400002</t>
    <phoneticPr fontId="1" type="noConversion"/>
  </si>
  <si>
    <t>166400</t>
    <phoneticPr fontId="1" type="noConversion"/>
  </si>
  <si>
    <t>TIGER 200커버드콜5%OTM</t>
    <phoneticPr fontId="1" type="noConversion"/>
  </si>
  <si>
    <t>KR7272560004</t>
    <phoneticPr fontId="1" type="noConversion"/>
  </si>
  <si>
    <t>272560</t>
    <phoneticPr fontId="1" type="noConversion"/>
  </si>
  <si>
    <t>KBSTAR 단기국공채액티브</t>
    <phoneticPr fontId="1" type="noConversion"/>
  </si>
  <si>
    <t>KR7407300003</t>
    <phoneticPr fontId="1" type="noConversion"/>
  </si>
  <si>
    <t>407300</t>
    <phoneticPr fontId="1" type="noConversion"/>
  </si>
  <si>
    <t>HANARO Fn골프테마</t>
    <phoneticPr fontId="1" type="noConversion"/>
  </si>
  <si>
    <t>KR7291680007</t>
    <phoneticPr fontId="1" type="noConversion"/>
  </si>
  <si>
    <t>291680</t>
    <phoneticPr fontId="1" type="noConversion"/>
  </si>
  <si>
    <t>KBSTAR 차이나H선물인버스(H)</t>
    <phoneticPr fontId="1" type="noConversion"/>
  </si>
  <si>
    <t>KR7394350003</t>
    <phoneticPr fontId="1" type="noConversion"/>
  </si>
  <si>
    <t>394350</t>
    <phoneticPr fontId="1" type="noConversion"/>
  </si>
  <si>
    <t>KOSEF 글로벌퓨처모빌리티</t>
    <phoneticPr fontId="1" type="noConversion"/>
  </si>
  <si>
    <t>KR7217780006</t>
    <phoneticPr fontId="1" type="noConversion"/>
  </si>
  <si>
    <t>217780</t>
    <phoneticPr fontId="1" type="noConversion"/>
  </si>
  <si>
    <t>TIGER 차이나CSI300인버스(합성)</t>
    <phoneticPr fontId="1" type="noConversion"/>
  </si>
  <si>
    <t>KR7459750006</t>
    <phoneticPr fontId="1" type="noConversion"/>
  </si>
  <si>
    <t>459750</t>
    <phoneticPr fontId="1" type="noConversion"/>
  </si>
  <si>
    <t>KBSTAR 글로벌주식분산액티브</t>
    <phoneticPr fontId="1" type="noConversion"/>
  </si>
  <si>
    <t>KR7454320003</t>
    <phoneticPr fontId="1" type="noConversion"/>
  </si>
  <si>
    <t>454320</t>
    <phoneticPr fontId="1" type="noConversion"/>
  </si>
  <si>
    <t>HANARO CAPEX설비투자iSelect</t>
    <phoneticPr fontId="1" type="noConversion"/>
  </si>
  <si>
    <t>KR7365040005</t>
    <phoneticPr fontId="1" type="noConversion"/>
  </si>
  <si>
    <t>365040</t>
    <phoneticPr fontId="1" type="noConversion"/>
  </si>
  <si>
    <t>TIGER AI코리아그로스액티브</t>
    <phoneticPr fontId="1" type="noConversion"/>
  </si>
  <si>
    <t>KR7438560005</t>
    <phoneticPr fontId="1" type="noConversion"/>
  </si>
  <si>
    <t>438560</t>
    <phoneticPr fontId="1" type="noConversion"/>
  </si>
  <si>
    <t>SOL 국고채3년</t>
    <phoneticPr fontId="1" type="noConversion"/>
  </si>
  <si>
    <t>KR7314700006</t>
    <phoneticPr fontId="1" type="noConversion"/>
  </si>
  <si>
    <t>314700</t>
    <phoneticPr fontId="1" type="noConversion"/>
  </si>
  <si>
    <t>HANARO 농업융복합산업</t>
    <phoneticPr fontId="1" type="noConversion"/>
  </si>
  <si>
    <t>KR7253240006</t>
    <phoneticPr fontId="1" type="noConversion"/>
  </si>
  <si>
    <t>253240</t>
    <phoneticPr fontId="1" type="noConversion"/>
  </si>
  <si>
    <t>KOSEF 200선물인버스</t>
    <phoneticPr fontId="1" type="noConversion"/>
  </si>
  <si>
    <t>KR7407160001</t>
    <phoneticPr fontId="1" type="noConversion"/>
  </si>
  <si>
    <t>407160</t>
    <phoneticPr fontId="1" type="noConversion"/>
  </si>
  <si>
    <t>MASTER 테크미디어텔레콤액티브</t>
    <phoneticPr fontId="1" type="noConversion"/>
  </si>
  <si>
    <t>KR7169950003</t>
    <phoneticPr fontId="1" type="noConversion"/>
  </si>
  <si>
    <t>169950</t>
    <phoneticPr fontId="1" type="noConversion"/>
  </si>
  <si>
    <t>KODEX 차이나A50</t>
    <phoneticPr fontId="1" type="noConversion"/>
  </si>
  <si>
    <t>KR7225050004</t>
    <phoneticPr fontId="1" type="noConversion"/>
  </si>
  <si>
    <t>225050</t>
    <phoneticPr fontId="1" type="noConversion"/>
  </si>
  <si>
    <t>TIGER 유로스탁스레버리지(합성 H)</t>
    <phoneticPr fontId="1" type="noConversion"/>
  </si>
  <si>
    <t>KR7433220001</t>
    <phoneticPr fontId="1" type="noConversion"/>
  </si>
  <si>
    <t>433220</t>
    <phoneticPr fontId="1" type="noConversion"/>
  </si>
  <si>
    <t>에셋플러스 글로벌대장장이액티브</t>
    <phoneticPr fontId="1" type="noConversion"/>
  </si>
  <si>
    <t>KR7316300003</t>
    <phoneticPr fontId="1" type="noConversion"/>
  </si>
  <si>
    <t>316300</t>
    <phoneticPr fontId="1" type="noConversion"/>
  </si>
  <si>
    <t>ACE 싱가포르리츠</t>
    <phoneticPr fontId="1" type="noConversion"/>
  </si>
  <si>
    <t>KR7192720001</t>
    <phoneticPr fontId="1" type="noConversion"/>
  </si>
  <si>
    <t>192720</t>
    <phoneticPr fontId="1" type="noConversion"/>
  </si>
  <si>
    <t>파워 고배당저변동성</t>
    <phoneticPr fontId="1" type="noConversion"/>
  </si>
  <si>
    <t>KR7195920004</t>
    <phoneticPr fontId="1" type="noConversion"/>
  </si>
  <si>
    <t>195920</t>
    <phoneticPr fontId="1" type="noConversion"/>
  </si>
  <si>
    <t>TIGER 일본TOPIX(합성 H)</t>
    <phoneticPr fontId="1" type="noConversion"/>
  </si>
  <si>
    <t>KR7285020004</t>
    <phoneticPr fontId="1" type="noConversion"/>
  </si>
  <si>
    <t>285020</t>
    <phoneticPr fontId="1" type="noConversion"/>
  </si>
  <si>
    <t>KBSTAR 200철강소재</t>
    <phoneticPr fontId="1" type="noConversion"/>
  </si>
  <si>
    <t>KR7292050002</t>
    <phoneticPr fontId="1" type="noConversion"/>
  </si>
  <si>
    <t>292050</t>
    <phoneticPr fontId="1" type="noConversion"/>
  </si>
  <si>
    <t>KBSTAR KRX300</t>
    <phoneticPr fontId="1" type="noConversion"/>
  </si>
  <si>
    <t>KR7445910003</t>
    <phoneticPr fontId="1" type="noConversion"/>
  </si>
  <si>
    <t>445910</t>
    <phoneticPr fontId="1" type="noConversion"/>
  </si>
  <si>
    <t>TIGER MKF배당귀족</t>
    <phoneticPr fontId="1" type="noConversion"/>
  </si>
  <si>
    <t>KR7449580000</t>
    <phoneticPr fontId="1" type="noConversion"/>
  </si>
  <si>
    <t>449580</t>
    <phoneticPr fontId="1" type="noConversion"/>
  </si>
  <si>
    <t>KBSTAR 미국빅데이터Top3채권혼합iSelect</t>
    <phoneticPr fontId="1" type="noConversion"/>
  </si>
  <si>
    <t>KR7442560009</t>
    <phoneticPr fontId="1" type="noConversion"/>
  </si>
  <si>
    <t>442560</t>
    <phoneticPr fontId="1" type="noConversion"/>
  </si>
  <si>
    <t>KBSTAR TDF2040액티브</t>
    <phoneticPr fontId="1" type="noConversion"/>
  </si>
  <si>
    <t>KR7114820004</t>
    <phoneticPr fontId="1" type="noConversion"/>
  </si>
  <si>
    <t>114820</t>
    <phoneticPr fontId="1" type="noConversion"/>
  </si>
  <si>
    <t>TIGER 국채3년</t>
    <phoneticPr fontId="1" type="noConversion"/>
  </si>
  <si>
    <t>KR7375770005</t>
    <phoneticPr fontId="1" type="noConversion"/>
  </si>
  <si>
    <t>375770</t>
    <phoneticPr fontId="1" type="noConversion"/>
  </si>
  <si>
    <t>KODEX 탄소효율그린뉴딜</t>
    <phoneticPr fontId="1" type="noConversion"/>
  </si>
  <si>
    <t>KR7332930007</t>
    <phoneticPr fontId="1" type="noConversion"/>
  </si>
  <si>
    <t>332930</t>
    <phoneticPr fontId="1" type="noConversion"/>
  </si>
  <si>
    <t>HANARO 200TR</t>
    <phoneticPr fontId="1" type="noConversion"/>
  </si>
  <si>
    <t>KR7385710009</t>
    <phoneticPr fontId="1" type="noConversion"/>
  </si>
  <si>
    <t>385710</t>
    <phoneticPr fontId="1" type="noConversion"/>
  </si>
  <si>
    <t>TIMEFOLIO 이노베이션액티브</t>
    <phoneticPr fontId="1" type="noConversion"/>
  </si>
  <si>
    <t>KR7459370003</t>
    <phoneticPr fontId="1" type="noConversion"/>
  </si>
  <si>
    <t>459370</t>
    <phoneticPr fontId="1" type="noConversion"/>
  </si>
  <si>
    <t>SOL 유럽탄소배출권선물인버스ICE(H)</t>
    <phoneticPr fontId="1" type="noConversion"/>
  </si>
  <si>
    <t>KR7138230008</t>
    <phoneticPr fontId="1" type="noConversion"/>
  </si>
  <si>
    <t>138230</t>
    <phoneticPr fontId="1" type="noConversion"/>
  </si>
  <si>
    <t>KOSEF 미국달러선물</t>
    <phoneticPr fontId="1" type="noConversion"/>
  </si>
  <si>
    <t>KR7293180006</t>
    <phoneticPr fontId="1" type="noConversion"/>
  </si>
  <si>
    <t>293180</t>
    <phoneticPr fontId="1" type="noConversion"/>
  </si>
  <si>
    <t>HANARO 200</t>
    <phoneticPr fontId="1" type="noConversion"/>
  </si>
  <si>
    <t>KR7359210002</t>
    <phoneticPr fontId="1" type="noConversion"/>
  </si>
  <si>
    <t>359210</t>
    <phoneticPr fontId="1" type="noConversion"/>
  </si>
  <si>
    <t>KODEX 코스피TR</t>
    <phoneticPr fontId="1" type="noConversion"/>
  </si>
  <si>
    <t>KR7269370003</t>
    <phoneticPr fontId="1" type="noConversion"/>
  </si>
  <si>
    <t>269370</t>
    <phoneticPr fontId="1" type="noConversion"/>
  </si>
  <si>
    <t>TIGER S&amp;P글로벌인프라(합성)</t>
    <phoneticPr fontId="1" type="noConversion"/>
  </si>
  <si>
    <t>KR7200030005</t>
    <phoneticPr fontId="1" type="noConversion"/>
  </si>
  <si>
    <t>200030</t>
    <phoneticPr fontId="1" type="noConversion"/>
  </si>
  <si>
    <t>KODEX 미국S&amp;P500산업재(합성)</t>
    <phoneticPr fontId="1" type="noConversion"/>
  </si>
  <si>
    <t>KR7168580009</t>
    <phoneticPr fontId="1" type="noConversion"/>
  </si>
  <si>
    <t>168580</t>
    <phoneticPr fontId="1" type="noConversion"/>
  </si>
  <si>
    <t>ACE 중국본토CSI300</t>
    <phoneticPr fontId="1" type="noConversion"/>
  </si>
  <si>
    <t>KR7280320003</t>
    <phoneticPr fontId="1" type="noConversion"/>
  </si>
  <si>
    <t>280320</t>
    <phoneticPr fontId="1" type="noConversion"/>
  </si>
  <si>
    <t>ACE 미국IT인터넷S&amp;P(합성 H)</t>
    <phoneticPr fontId="1" type="noConversion"/>
  </si>
  <si>
    <t>KR7440650000</t>
    <phoneticPr fontId="1" type="noConversion"/>
  </si>
  <si>
    <t>440650</t>
    <phoneticPr fontId="1" type="noConversion"/>
  </si>
  <si>
    <t>ACE 미국달러단기채권액티브</t>
    <phoneticPr fontId="1" type="noConversion"/>
  </si>
  <si>
    <t>KR7438900003</t>
    <phoneticPr fontId="1" type="noConversion"/>
  </si>
  <si>
    <t>438900</t>
    <phoneticPr fontId="1" type="noConversion"/>
  </si>
  <si>
    <t>HANARO Fn K-푸드</t>
    <phoneticPr fontId="1" type="noConversion"/>
  </si>
  <si>
    <t>KR7415760008</t>
    <phoneticPr fontId="1" type="noConversion"/>
  </si>
  <si>
    <t>415760</t>
    <phoneticPr fontId="1" type="noConversion"/>
  </si>
  <si>
    <t>SOL 차이나육성산업액티브(합성)</t>
    <phoneticPr fontId="1" type="noConversion"/>
  </si>
  <si>
    <t>KR7404120008</t>
    <phoneticPr fontId="1" type="noConversion"/>
  </si>
  <si>
    <t>404120</t>
    <phoneticPr fontId="1" type="noConversion"/>
  </si>
  <si>
    <t>TIMEFOLIO 탄소중립액티브</t>
    <phoneticPr fontId="1" type="noConversion"/>
  </si>
  <si>
    <t>KR7472490002</t>
    <phoneticPr fontId="1" type="noConversion"/>
  </si>
  <si>
    <t>472490</t>
    <phoneticPr fontId="1" type="noConversion"/>
  </si>
  <si>
    <t>HANARO 미국애그테크</t>
    <phoneticPr fontId="1" type="noConversion"/>
  </si>
  <si>
    <t>KR7404260002</t>
    <phoneticPr fontId="1" type="noConversion"/>
  </si>
  <si>
    <t>404260</t>
    <phoneticPr fontId="1" type="noConversion"/>
  </si>
  <si>
    <t>KODEX KRX기후변화솔루션</t>
    <phoneticPr fontId="1" type="noConversion"/>
  </si>
  <si>
    <t>KR7426410007</t>
    <phoneticPr fontId="1" type="noConversion"/>
  </si>
  <si>
    <t>426410</t>
    <phoneticPr fontId="1" type="noConversion"/>
  </si>
  <si>
    <t>ARIRANG 미국대체투자Top10MV</t>
    <phoneticPr fontId="1" type="noConversion"/>
  </si>
  <si>
    <t>KR7411540008</t>
    <phoneticPr fontId="1" type="noConversion"/>
  </si>
  <si>
    <t>411540</t>
    <phoneticPr fontId="1" type="noConversion"/>
  </si>
  <si>
    <t>SOL 200 Top10</t>
    <phoneticPr fontId="1" type="noConversion"/>
  </si>
  <si>
    <t>KR7464540004</t>
    <phoneticPr fontId="1" type="noConversion"/>
  </si>
  <si>
    <t>464540</t>
    <phoneticPr fontId="1" type="noConversion"/>
  </si>
  <si>
    <t>KBSTAR 25-03 회사채(AA-이상)액티브</t>
    <phoneticPr fontId="1" type="noConversion"/>
  </si>
  <si>
    <t>KR7448570002</t>
    <phoneticPr fontId="1" type="noConversion"/>
  </si>
  <si>
    <t>448570</t>
    <phoneticPr fontId="1" type="noConversion"/>
  </si>
  <si>
    <t>FOCUS AI코리아액티브</t>
    <phoneticPr fontId="1" type="noConversion"/>
  </si>
  <si>
    <t>KR7105780001</t>
    <phoneticPr fontId="1" type="noConversion"/>
  </si>
  <si>
    <t>105780</t>
    <phoneticPr fontId="1" type="noConversion"/>
  </si>
  <si>
    <t>KBSTAR 5대그룹주</t>
    <phoneticPr fontId="1" type="noConversion"/>
  </si>
  <si>
    <t>KR7181480005</t>
    <phoneticPr fontId="1" type="noConversion"/>
  </si>
  <si>
    <t>181480</t>
    <phoneticPr fontId="1" type="noConversion"/>
  </si>
  <si>
    <t>ACE 미국다우존스리츠(합성 H)</t>
    <phoneticPr fontId="1" type="noConversion"/>
  </si>
  <si>
    <t>KR7433500006</t>
    <phoneticPr fontId="1" type="noConversion"/>
  </si>
  <si>
    <t>433500</t>
    <phoneticPr fontId="1" type="noConversion"/>
  </si>
  <si>
    <t>ACE 원자력테마딥서치</t>
    <phoneticPr fontId="1" type="noConversion"/>
  </si>
  <si>
    <t>KR7442550000</t>
    <phoneticPr fontId="1" type="noConversion"/>
  </si>
  <si>
    <t>442550</t>
    <phoneticPr fontId="1" type="noConversion"/>
  </si>
  <si>
    <t>KBSTAR TDF2030액티브</t>
    <phoneticPr fontId="1" type="noConversion"/>
  </si>
  <si>
    <t>KR7437070006</t>
    <phoneticPr fontId="1" type="noConversion"/>
  </si>
  <si>
    <t>437070</t>
    <phoneticPr fontId="1" type="noConversion"/>
  </si>
  <si>
    <t>KODEX 아시아달러채권SRI플러스액티브</t>
    <phoneticPr fontId="1" type="noConversion"/>
  </si>
  <si>
    <t>KR7461450009</t>
    <phoneticPr fontId="1" type="noConversion"/>
  </si>
  <si>
    <t>461450</t>
    <phoneticPr fontId="1" type="noConversion"/>
  </si>
  <si>
    <t>KODEX 코스닥글로벌</t>
    <phoneticPr fontId="1" type="noConversion"/>
  </si>
  <si>
    <t>KR7412560005</t>
    <phoneticPr fontId="1" type="noConversion"/>
  </si>
  <si>
    <t>412560</t>
    <phoneticPr fontId="1" type="noConversion"/>
  </si>
  <si>
    <t>TIGER BBIG레버리지</t>
    <phoneticPr fontId="1" type="noConversion"/>
  </si>
  <si>
    <t>KR7391590007</t>
    <phoneticPr fontId="1" type="noConversion"/>
  </si>
  <si>
    <t>391590</t>
    <phoneticPr fontId="1" type="noConversion"/>
  </si>
  <si>
    <t>ACE 미국스팩&amp;IPO INDXX</t>
    <phoneticPr fontId="1" type="noConversion"/>
  </si>
  <si>
    <t>KR7239660004</t>
    <phoneticPr fontId="1" type="noConversion"/>
  </si>
  <si>
    <t>239660</t>
    <phoneticPr fontId="1" type="noConversion"/>
  </si>
  <si>
    <t>ARIRANG 우량회사채50 1년</t>
    <phoneticPr fontId="1" type="noConversion"/>
  </si>
  <si>
    <t>KR7367740008</t>
    <phoneticPr fontId="1" type="noConversion"/>
  </si>
  <si>
    <t>367740</t>
    <phoneticPr fontId="1" type="noConversion"/>
  </si>
  <si>
    <t>HANARO Fn5G산업</t>
    <phoneticPr fontId="1" type="noConversion"/>
  </si>
  <si>
    <t>KR7411860000</t>
    <phoneticPr fontId="1" type="noConversion"/>
  </si>
  <si>
    <t>411860</t>
    <phoneticPr fontId="1" type="noConversion"/>
  </si>
  <si>
    <t>KOSEF 독일DAX</t>
    <phoneticPr fontId="1" type="noConversion"/>
  </si>
  <si>
    <t>KR7136340007</t>
    <phoneticPr fontId="1" type="noConversion"/>
  </si>
  <si>
    <t>136340</t>
    <phoneticPr fontId="1" type="noConversion"/>
  </si>
  <si>
    <t>KBSTAR 중기우량회사채</t>
    <phoneticPr fontId="1" type="noConversion"/>
  </si>
  <si>
    <t>KR7287300008</t>
    <phoneticPr fontId="1" type="noConversion"/>
  </si>
  <si>
    <t>287300</t>
    <phoneticPr fontId="1" type="noConversion"/>
  </si>
  <si>
    <t>KBSTAR 200건설</t>
    <phoneticPr fontId="1" type="noConversion"/>
  </si>
  <si>
    <t>KR7375270006</t>
    <phoneticPr fontId="1" type="noConversion"/>
  </si>
  <si>
    <t>375270</t>
    <phoneticPr fontId="1" type="noConversion"/>
  </si>
  <si>
    <t>KBSTAR 글로벌데이터센터리츠나스닥(합성)</t>
    <phoneticPr fontId="1" type="noConversion"/>
  </si>
  <si>
    <t>KR7450190004</t>
    <phoneticPr fontId="1" type="noConversion"/>
  </si>
  <si>
    <t>450190</t>
    <phoneticPr fontId="1" type="noConversion"/>
  </si>
  <si>
    <t>KODEX 한중반도체(합성)</t>
    <phoneticPr fontId="1" type="noConversion"/>
  </si>
  <si>
    <t>KR7252410006</t>
    <phoneticPr fontId="1" type="noConversion"/>
  </si>
  <si>
    <t>252410</t>
    <phoneticPr fontId="1" type="noConversion"/>
  </si>
  <si>
    <t>KBSTAR 200선물인버스</t>
    <phoneticPr fontId="1" type="noConversion"/>
  </si>
  <si>
    <t>KR7435550009</t>
    <phoneticPr fontId="1" type="noConversion"/>
  </si>
  <si>
    <t>435550</t>
    <phoneticPr fontId="1" type="noConversion"/>
  </si>
  <si>
    <t>히어로즈 TDF2050액티브</t>
    <phoneticPr fontId="1" type="noConversion"/>
  </si>
  <si>
    <t>KR7322400003</t>
    <phoneticPr fontId="1" type="noConversion"/>
  </si>
  <si>
    <t>322400</t>
    <phoneticPr fontId="1" type="noConversion"/>
  </si>
  <si>
    <t>HANARO e커머스</t>
    <phoneticPr fontId="1" type="noConversion"/>
  </si>
  <si>
    <t>KR7448490003</t>
    <phoneticPr fontId="1" type="noConversion"/>
  </si>
  <si>
    <t>448490</t>
    <phoneticPr fontId="1" type="noConversion"/>
  </si>
  <si>
    <t>HANARO 32-10 국고채액티브</t>
    <phoneticPr fontId="1" type="noConversion"/>
  </si>
  <si>
    <t>KR7428510002</t>
    <phoneticPr fontId="1" type="noConversion"/>
  </si>
  <si>
    <t>428510</t>
    <phoneticPr fontId="1" type="noConversion"/>
  </si>
  <si>
    <t>KODEX 차이나메타버스액티브</t>
    <phoneticPr fontId="1" type="noConversion"/>
  </si>
  <si>
    <t>KR7461900003</t>
    <phoneticPr fontId="1" type="noConversion"/>
  </si>
  <si>
    <t>461900</t>
    <phoneticPr fontId="1" type="noConversion"/>
  </si>
  <si>
    <t>ARIRANG 미국테크10iSelect</t>
    <phoneticPr fontId="1" type="noConversion"/>
  </si>
  <si>
    <t>KR7266390004</t>
    <phoneticPr fontId="1" type="noConversion"/>
  </si>
  <si>
    <t>266390</t>
    <phoneticPr fontId="1" type="noConversion"/>
  </si>
  <si>
    <t>KODEX 경기소비재</t>
    <phoneticPr fontId="1" type="noConversion"/>
  </si>
  <si>
    <t>KR7463300004</t>
    <phoneticPr fontId="1" type="noConversion"/>
  </si>
  <si>
    <t>463300</t>
    <phoneticPr fontId="1" type="noConversion"/>
  </si>
  <si>
    <t>KBSTAR 중국본토CSI300</t>
    <phoneticPr fontId="1" type="noConversion"/>
  </si>
  <si>
    <t>KR7167860006</t>
    <phoneticPr fontId="1" type="noConversion"/>
  </si>
  <si>
    <t>167860</t>
    <phoneticPr fontId="1" type="noConversion"/>
  </si>
  <si>
    <t>KOSEF 국고채10년레버리지</t>
    <phoneticPr fontId="1" type="noConversion"/>
  </si>
  <si>
    <t>KR7461580003</t>
    <phoneticPr fontId="1" type="noConversion"/>
  </si>
  <si>
    <t>461580</t>
    <phoneticPr fontId="1" type="noConversion"/>
  </si>
  <si>
    <t>TIGER 코스닥글로벌</t>
    <phoneticPr fontId="1" type="noConversion"/>
  </si>
  <si>
    <t>KR7269530002</t>
    <phoneticPr fontId="1" type="noConversion"/>
  </si>
  <si>
    <t>269530</t>
    <phoneticPr fontId="1" type="noConversion"/>
  </si>
  <si>
    <t>ARIRANG S&amp;P글로벌인프라</t>
    <phoneticPr fontId="1" type="noConversion"/>
  </si>
  <si>
    <t>KR7437370000</t>
    <phoneticPr fontId="1" type="noConversion"/>
  </si>
  <si>
    <t>437370</t>
    <phoneticPr fontId="1" type="noConversion"/>
  </si>
  <si>
    <t>KBSTAR 글로벌농업경제MV</t>
    <phoneticPr fontId="1" type="noConversion"/>
  </si>
  <si>
    <t>KR7455960005</t>
    <phoneticPr fontId="1" type="noConversion"/>
  </si>
  <si>
    <t>455960</t>
    <phoneticPr fontId="1" type="noConversion"/>
  </si>
  <si>
    <t>KBSTAR 미국달러SOFR금리액티브(합성)</t>
    <phoneticPr fontId="1" type="noConversion"/>
  </si>
  <si>
    <t>KR7373790005</t>
    <phoneticPr fontId="1" type="noConversion"/>
  </si>
  <si>
    <t>373790</t>
    <phoneticPr fontId="1" type="noConversion"/>
  </si>
  <si>
    <t>KOSEF 미국방어배당성장나스닥</t>
    <phoneticPr fontId="1" type="noConversion"/>
  </si>
  <si>
    <t>KR7451150007</t>
    <phoneticPr fontId="1" type="noConversion"/>
  </si>
  <si>
    <t>451150</t>
    <phoneticPr fontId="1" type="noConversion"/>
  </si>
  <si>
    <t>에셋플러스 글로벌영에이지액티브</t>
    <phoneticPr fontId="1" type="noConversion"/>
  </si>
  <si>
    <t>KR7253150007</t>
    <phoneticPr fontId="1" type="noConversion"/>
  </si>
  <si>
    <t>253150</t>
    <phoneticPr fontId="1" type="noConversion"/>
  </si>
  <si>
    <t>ARIRANG 200선물레버리지</t>
    <phoneticPr fontId="1" type="noConversion"/>
  </si>
  <si>
    <t>KR7447430000</t>
    <phoneticPr fontId="1" type="noConversion"/>
  </si>
  <si>
    <t>447430</t>
    <phoneticPr fontId="1" type="noConversion"/>
  </si>
  <si>
    <t>ACE 주주환원가치주액티브</t>
    <phoneticPr fontId="1" type="noConversion"/>
  </si>
  <si>
    <t>KR7460270002</t>
    <phoneticPr fontId="1" type="noConversion"/>
  </si>
  <si>
    <t>460270</t>
    <phoneticPr fontId="1" type="noConversion"/>
  </si>
  <si>
    <t>히어로즈 미국달러SOFR금리액티브(합성)</t>
    <phoneticPr fontId="1" type="noConversion"/>
  </si>
  <si>
    <t>KR7305050007</t>
    <phoneticPr fontId="1" type="noConversion"/>
  </si>
  <si>
    <t>305050</t>
    <phoneticPr fontId="1" type="noConversion"/>
  </si>
  <si>
    <t>ACE 코스피</t>
    <phoneticPr fontId="1" type="noConversion"/>
  </si>
  <si>
    <t>KR7140580002</t>
    <phoneticPr fontId="1" type="noConversion"/>
  </si>
  <si>
    <t>140580</t>
    <phoneticPr fontId="1" type="noConversion"/>
  </si>
  <si>
    <t>KBSTAR 우량업종대표주</t>
    <phoneticPr fontId="1" type="noConversion"/>
  </si>
  <si>
    <t>KR7356540005</t>
    <phoneticPr fontId="1" type="noConversion"/>
  </si>
  <si>
    <t>356540</t>
    <phoneticPr fontId="1" type="noConversion"/>
  </si>
  <si>
    <t>ACE 종합채권(AA-이상)KIS액티브</t>
    <phoneticPr fontId="1" type="noConversion"/>
  </si>
  <si>
    <t>KR7448100008</t>
    <phoneticPr fontId="1" type="noConversion"/>
  </si>
  <si>
    <t>448100</t>
    <phoneticPr fontId="1" type="noConversion"/>
  </si>
  <si>
    <t>WOORI 200</t>
    <phoneticPr fontId="1" type="noConversion"/>
  </si>
  <si>
    <t>KR7433250008</t>
    <phoneticPr fontId="1" type="noConversion"/>
  </si>
  <si>
    <t>433250</t>
    <phoneticPr fontId="1" type="noConversion"/>
  </si>
  <si>
    <t>UNICORN R&amp;D 액티브</t>
    <phoneticPr fontId="1" type="noConversion"/>
  </si>
  <si>
    <t>KR7451600001</t>
    <phoneticPr fontId="1" type="noConversion"/>
  </si>
  <si>
    <t>451600</t>
    <phoneticPr fontId="1" type="noConversion"/>
  </si>
  <si>
    <t>ARIRANG 국고채30년액티브</t>
    <phoneticPr fontId="1" type="noConversion"/>
  </si>
  <si>
    <t>KR7277540001</t>
    <phoneticPr fontId="1" type="noConversion"/>
  </si>
  <si>
    <t>277540</t>
    <phoneticPr fontId="1" type="noConversion"/>
  </si>
  <si>
    <t>ACE 아시아TOP50S&amp;P</t>
    <phoneticPr fontId="1" type="noConversion"/>
  </si>
  <si>
    <t>KR7373490002</t>
    <phoneticPr fontId="1" type="noConversion"/>
  </si>
  <si>
    <t>373490</t>
    <phoneticPr fontId="1" type="noConversion"/>
  </si>
  <si>
    <t>KODEX K-이노베이션액티브</t>
    <phoneticPr fontId="1" type="noConversion"/>
  </si>
  <si>
    <t>KR7272570003</t>
    <phoneticPr fontId="1" type="noConversion"/>
  </si>
  <si>
    <t>272570</t>
    <phoneticPr fontId="1" type="noConversion"/>
  </si>
  <si>
    <t>KBSTAR 중장기국공채액티브</t>
    <phoneticPr fontId="1" type="noConversion"/>
  </si>
  <si>
    <t>KR7459790002</t>
    <phoneticPr fontId="1" type="noConversion"/>
  </si>
  <si>
    <t>459790</t>
    <phoneticPr fontId="1" type="noConversion"/>
  </si>
  <si>
    <t>히어로즈 미국성장기업30액티브</t>
    <phoneticPr fontId="1" type="noConversion"/>
  </si>
  <si>
    <t>KR7463640003</t>
    <phoneticPr fontId="1" type="noConversion"/>
  </si>
  <si>
    <t>463640</t>
    <phoneticPr fontId="1" type="noConversion"/>
  </si>
  <si>
    <t>KODEX 미국S&amp;P500유틸리티</t>
    <phoneticPr fontId="1" type="noConversion"/>
  </si>
  <si>
    <t>KR7429870009</t>
    <phoneticPr fontId="1" type="noConversion"/>
  </si>
  <si>
    <t>429870</t>
    <phoneticPr fontId="1" type="noConversion"/>
  </si>
  <si>
    <t>히어로즈 리츠이지스액티브</t>
    <phoneticPr fontId="1" type="noConversion"/>
  </si>
  <si>
    <t>KR7289260002</t>
    <phoneticPr fontId="1" type="noConversion"/>
  </si>
  <si>
    <t>289260</t>
    <phoneticPr fontId="1" type="noConversion"/>
  </si>
  <si>
    <t>TIGER MSCI KOREA ESG리더스</t>
    <phoneticPr fontId="1" type="noConversion"/>
  </si>
  <si>
    <t>KR7415340009</t>
    <phoneticPr fontId="1" type="noConversion"/>
  </si>
  <si>
    <t>415340</t>
    <phoneticPr fontId="1" type="noConversion"/>
  </si>
  <si>
    <t>KODEX 차이나과창판STAR50(합성)</t>
    <phoneticPr fontId="1" type="noConversion"/>
  </si>
  <si>
    <t>KR7385590005</t>
    <phoneticPr fontId="1" type="noConversion"/>
  </si>
  <si>
    <t>385590</t>
    <phoneticPr fontId="1" type="noConversion"/>
  </si>
  <si>
    <t>ACE ESG액티브</t>
    <phoneticPr fontId="1" type="noConversion"/>
  </si>
  <si>
    <t>KR7114100001</t>
    <phoneticPr fontId="1" type="noConversion"/>
  </si>
  <si>
    <t>114100</t>
    <phoneticPr fontId="1" type="noConversion"/>
  </si>
  <si>
    <t>KBSTAR 국고채3년</t>
    <phoneticPr fontId="1" type="noConversion"/>
  </si>
  <si>
    <t>KR7285010005</t>
    <phoneticPr fontId="1" type="noConversion"/>
  </si>
  <si>
    <t>285010</t>
    <phoneticPr fontId="1" type="noConversion"/>
  </si>
  <si>
    <t>KBSTAR 200중공업</t>
    <phoneticPr fontId="1" type="noConversion"/>
  </si>
  <si>
    <t>KR7449780006</t>
    <phoneticPr fontId="1" type="noConversion"/>
  </si>
  <si>
    <t>449780</t>
    <phoneticPr fontId="1" type="noConversion"/>
  </si>
  <si>
    <t>KOSEF 미국S&amp;P500(H)</t>
    <phoneticPr fontId="1" type="noConversion"/>
  </si>
  <si>
    <t>KR7100910009</t>
    <phoneticPr fontId="1" type="noConversion"/>
  </si>
  <si>
    <t>100910</t>
    <phoneticPr fontId="1" type="noConversion"/>
  </si>
  <si>
    <t>KOSEF KRX100</t>
    <phoneticPr fontId="1" type="noConversion"/>
  </si>
  <si>
    <t>KR7153270004</t>
    <phoneticPr fontId="1" type="noConversion"/>
  </si>
  <si>
    <t>153270</t>
    <phoneticPr fontId="1" type="noConversion"/>
  </si>
  <si>
    <t>KOSEF 코스피100</t>
    <phoneticPr fontId="1" type="noConversion"/>
  </si>
  <si>
    <t>KR7114460009</t>
    <phoneticPr fontId="1" type="noConversion"/>
  </si>
  <si>
    <t>114460</t>
    <phoneticPr fontId="1" type="noConversion"/>
  </si>
  <si>
    <t>ACE 국고채3년</t>
    <phoneticPr fontId="1" type="noConversion"/>
  </si>
  <si>
    <t>KR7445930001</t>
    <phoneticPr fontId="1" type="noConversion"/>
  </si>
  <si>
    <t>445930</t>
    <phoneticPr fontId="1" type="noConversion"/>
  </si>
  <si>
    <t>KOSEF 차이나A50커넥트레버리지MSCI(합성H)</t>
    <phoneticPr fontId="1" type="noConversion"/>
  </si>
  <si>
    <t>KR7284990009</t>
    <phoneticPr fontId="1" type="noConversion"/>
  </si>
  <si>
    <t>284990</t>
    <phoneticPr fontId="1" type="noConversion"/>
  </si>
  <si>
    <t>KBSTAR 200에너지화학</t>
    <phoneticPr fontId="1" type="noConversion"/>
  </si>
  <si>
    <t>KR7416090009</t>
    <phoneticPr fontId="1" type="noConversion"/>
  </si>
  <si>
    <t>416090</t>
    <phoneticPr fontId="1" type="noConversion"/>
  </si>
  <si>
    <t>ACE 중국과창판STAR50</t>
    <phoneticPr fontId="1" type="noConversion"/>
  </si>
  <si>
    <t>KR7307010009</t>
    <phoneticPr fontId="1" type="noConversion"/>
  </si>
  <si>
    <t>307010</t>
    <phoneticPr fontId="1" type="noConversion"/>
  </si>
  <si>
    <t>KBSTAR KRX300레버리지</t>
    <phoneticPr fontId="1" type="noConversion"/>
  </si>
  <si>
    <t>KR7322410002</t>
    <phoneticPr fontId="1" type="noConversion"/>
  </si>
  <si>
    <t>322410</t>
    <phoneticPr fontId="1" type="noConversion"/>
  </si>
  <si>
    <t>HANARO 고배당</t>
    <phoneticPr fontId="1" type="noConversion"/>
  </si>
  <si>
    <t>KR7332610005</t>
    <phoneticPr fontId="1" type="noConversion"/>
  </si>
  <si>
    <t>332610</t>
    <phoneticPr fontId="1" type="noConversion"/>
  </si>
  <si>
    <t>ARIRANG 미국단기우량회사채</t>
    <phoneticPr fontId="1" type="noConversion"/>
  </si>
  <si>
    <t>KR7301400008</t>
    <phoneticPr fontId="1" type="noConversion"/>
  </si>
  <si>
    <t>301400</t>
    <phoneticPr fontId="1" type="noConversion"/>
  </si>
  <si>
    <t>ARIRANG 코스닥150</t>
    <phoneticPr fontId="1" type="noConversion"/>
  </si>
  <si>
    <t>KR7196030001</t>
    <phoneticPr fontId="1" type="noConversion"/>
  </si>
  <si>
    <t>196030</t>
    <phoneticPr fontId="1" type="noConversion"/>
  </si>
  <si>
    <t>ACE 일본TOPIX레버리지(H)</t>
    <phoneticPr fontId="1" type="noConversion"/>
  </si>
  <si>
    <t>KR7438330003</t>
    <phoneticPr fontId="1" type="noConversion"/>
  </si>
  <si>
    <t>438330</t>
    <phoneticPr fontId="1" type="noConversion"/>
  </si>
  <si>
    <t>TIGER 투자등급회사채액티브</t>
    <phoneticPr fontId="1" type="noConversion"/>
  </si>
  <si>
    <t>KR7465620003</t>
    <phoneticPr fontId="1" type="noConversion"/>
  </si>
  <si>
    <t>465620</t>
    <phoneticPr fontId="1" type="noConversion"/>
  </si>
  <si>
    <t>ACE 미국빅테크TOP7 Plus인버스(합성)</t>
    <phoneticPr fontId="1" type="noConversion"/>
  </si>
  <si>
    <t>KR7413930009</t>
    <phoneticPr fontId="1" type="noConversion"/>
  </si>
  <si>
    <t>413930</t>
    <phoneticPr fontId="1" type="noConversion"/>
  </si>
  <si>
    <t>WOORI AI ESG액티브</t>
    <phoneticPr fontId="1" type="noConversion"/>
  </si>
  <si>
    <t>KR7394340004</t>
    <phoneticPr fontId="1" type="noConversion"/>
  </si>
  <si>
    <t>394340</t>
    <phoneticPr fontId="1" type="noConversion"/>
  </si>
  <si>
    <t>KOSEF 글로벌디지털경제</t>
    <phoneticPr fontId="1" type="noConversion"/>
  </si>
  <si>
    <t>KR7453060006</t>
    <phoneticPr fontId="1" type="noConversion"/>
  </si>
  <si>
    <t>453060</t>
    <phoneticPr fontId="1" type="noConversion"/>
  </si>
  <si>
    <t>HANARO KOFR금리액티브(합성)</t>
    <phoneticPr fontId="1" type="noConversion"/>
  </si>
  <si>
    <t>KR7156080004</t>
    <phoneticPr fontId="1" type="noConversion"/>
  </si>
  <si>
    <t>156080</t>
    <phoneticPr fontId="1" type="noConversion"/>
  </si>
  <si>
    <t>KODEX MSCI Korea</t>
    <phoneticPr fontId="1" type="noConversion"/>
  </si>
  <si>
    <t>KR7407170000</t>
    <phoneticPr fontId="1" type="noConversion"/>
  </si>
  <si>
    <t>407170</t>
    <phoneticPr fontId="1" type="noConversion"/>
  </si>
  <si>
    <t>MASTER 스마트커머스액티브</t>
    <phoneticPr fontId="1" type="noConversion"/>
  </si>
  <si>
    <t>KR7375760006</t>
    <phoneticPr fontId="1" type="noConversion"/>
  </si>
  <si>
    <t>375760</t>
    <phoneticPr fontId="1" type="noConversion"/>
  </si>
  <si>
    <t>HANARO 탄소효율그린뉴딜</t>
    <phoneticPr fontId="1" type="noConversion"/>
  </si>
  <si>
    <t>KR7453660003</t>
    <phoneticPr fontId="1" type="noConversion"/>
  </si>
  <si>
    <t>453660</t>
    <phoneticPr fontId="1" type="noConversion"/>
  </si>
  <si>
    <t>KODEX 미국S&amp;P500경기소비재</t>
    <phoneticPr fontId="1" type="noConversion"/>
  </si>
  <si>
    <t>KR7307520007</t>
    <phoneticPr fontId="1" type="noConversion"/>
  </si>
  <si>
    <t>307520</t>
    <phoneticPr fontId="1" type="noConversion"/>
  </si>
  <si>
    <t>TIGER 지주회사</t>
    <phoneticPr fontId="1" type="noConversion"/>
  </si>
  <si>
    <t>KR7433860004</t>
    <phoneticPr fontId="1" type="noConversion"/>
  </si>
  <si>
    <t>433860</t>
    <phoneticPr fontId="1" type="noConversion"/>
  </si>
  <si>
    <t>ARIRANG TDF2040액티브</t>
    <phoneticPr fontId="1" type="noConversion"/>
  </si>
  <si>
    <t>KR7295000004</t>
    <phoneticPr fontId="1" type="noConversion"/>
  </si>
  <si>
    <t>295000</t>
    <phoneticPr fontId="1" type="noConversion"/>
  </si>
  <si>
    <t>KBSTAR 국채선물10년</t>
    <phoneticPr fontId="1" type="noConversion"/>
  </si>
  <si>
    <t>KR7368680005</t>
    <phoneticPr fontId="1" type="noConversion"/>
  </si>
  <si>
    <t>368680</t>
    <phoneticPr fontId="1" type="noConversion"/>
  </si>
  <si>
    <t>KODEX Fn K-뉴딜디지털플러스</t>
    <phoneticPr fontId="1" type="noConversion"/>
  </si>
  <si>
    <t>KR7147970008</t>
    <phoneticPr fontId="1" type="noConversion"/>
  </si>
  <si>
    <t>147970</t>
    <phoneticPr fontId="1" type="noConversion"/>
  </si>
  <si>
    <t>TIGER 모멘텀</t>
    <phoneticPr fontId="1" type="noConversion"/>
  </si>
  <si>
    <t>KR7227830007</t>
    <phoneticPr fontId="1" type="noConversion"/>
  </si>
  <si>
    <t>227830</t>
    <phoneticPr fontId="1" type="noConversion"/>
  </si>
  <si>
    <t>ARIRANG 코스피</t>
    <phoneticPr fontId="1" type="noConversion"/>
  </si>
  <si>
    <t>KR7122090004</t>
    <phoneticPr fontId="1" type="noConversion"/>
  </si>
  <si>
    <t>122090</t>
    <phoneticPr fontId="1" type="noConversion"/>
  </si>
  <si>
    <t>ARIRANG 코스피50</t>
    <phoneticPr fontId="1" type="noConversion"/>
  </si>
  <si>
    <t>KR7429010002</t>
    <phoneticPr fontId="1" type="noConversion"/>
  </si>
  <si>
    <t>429010</t>
    <phoneticPr fontId="1" type="noConversion"/>
  </si>
  <si>
    <t>TIGER 미국나스닥넥스트100</t>
    <phoneticPr fontId="1" type="noConversion"/>
  </si>
  <si>
    <t>KR7139660005</t>
    <phoneticPr fontId="1" type="noConversion"/>
  </si>
  <si>
    <t>139660</t>
    <phoneticPr fontId="1" type="noConversion"/>
  </si>
  <si>
    <t>KOSEF 미국달러선물인버스</t>
    <phoneticPr fontId="1" type="noConversion"/>
  </si>
  <si>
    <t>KR7267500007</t>
    <phoneticPr fontId="1" type="noConversion"/>
  </si>
  <si>
    <t>267500</t>
    <phoneticPr fontId="1" type="noConversion"/>
  </si>
  <si>
    <t>KBSTAR 미국장기국채선물인버스2X(합성 H)</t>
    <phoneticPr fontId="1" type="noConversion"/>
  </si>
  <si>
    <t>KR7385540000</t>
    <phoneticPr fontId="1" type="noConversion"/>
  </si>
  <si>
    <t>385540</t>
    <phoneticPr fontId="1" type="noConversion"/>
  </si>
  <si>
    <t>KBSTAR 종합채권(A-이상)액티브</t>
    <phoneticPr fontId="1" type="noConversion"/>
  </si>
  <si>
    <t>KR7261060008</t>
    <phoneticPr fontId="1" type="noConversion"/>
  </si>
  <si>
    <t>261060</t>
    <phoneticPr fontId="1" type="noConversion"/>
  </si>
  <si>
    <t>TIGER 코스닥150IT</t>
    <phoneticPr fontId="1" type="noConversion"/>
  </si>
  <si>
    <t>KR7434960001</t>
    <phoneticPr fontId="1" type="noConversion"/>
  </si>
  <si>
    <t>434960</t>
    <phoneticPr fontId="1" type="noConversion"/>
  </si>
  <si>
    <t>대신343 K200</t>
    <phoneticPr fontId="1" type="noConversion"/>
  </si>
  <si>
    <t>KR7432840007</t>
    <phoneticPr fontId="1" type="noConversion"/>
  </si>
  <si>
    <t>432840</t>
    <phoneticPr fontId="1" type="noConversion"/>
  </si>
  <si>
    <t>HANARO 미국S&amp;P500</t>
    <phoneticPr fontId="1" type="noConversion"/>
  </si>
  <si>
    <t>KR7256450008</t>
    <phoneticPr fontId="1" type="noConversion"/>
  </si>
  <si>
    <t>256450</t>
    <phoneticPr fontId="1" type="noConversion"/>
  </si>
  <si>
    <t>ARIRANG 심천차이넥스트(합성)</t>
    <phoneticPr fontId="1" type="noConversion"/>
  </si>
  <si>
    <t>KR7337140008</t>
    <phoneticPr fontId="1" type="noConversion"/>
  </si>
  <si>
    <t>337140</t>
    <phoneticPr fontId="1" type="noConversion"/>
  </si>
  <si>
    <t>KODEX 코스피대형주</t>
    <phoneticPr fontId="1" type="noConversion"/>
  </si>
  <si>
    <t>KR7226380004</t>
    <phoneticPr fontId="1" type="noConversion"/>
  </si>
  <si>
    <t>226380</t>
    <phoneticPr fontId="1" type="noConversion"/>
  </si>
  <si>
    <t>ACE Fn성장소비주도주</t>
    <phoneticPr fontId="1" type="noConversion"/>
  </si>
  <si>
    <t>KR7430500009</t>
    <phoneticPr fontId="1" type="noConversion"/>
  </si>
  <si>
    <t>430500</t>
    <phoneticPr fontId="1" type="noConversion"/>
  </si>
  <si>
    <t>KOSEF 물가채KIS</t>
    <phoneticPr fontId="1" type="noConversion"/>
  </si>
  <si>
    <t>KR7454180001</t>
    <phoneticPr fontId="1" type="noConversion"/>
  </si>
  <si>
    <t>454180</t>
    <phoneticPr fontId="1" type="noConversion"/>
  </si>
  <si>
    <t>KOSEF 차이나내수소비TOP CSI</t>
    <phoneticPr fontId="1" type="noConversion"/>
  </si>
  <si>
    <t>KR7238670004</t>
    <phoneticPr fontId="1" type="noConversion"/>
  </si>
  <si>
    <t>238670</t>
    <phoneticPr fontId="1" type="noConversion"/>
  </si>
  <si>
    <t>ARIRANG 스마트베타Quality채권혼합</t>
    <phoneticPr fontId="1" type="noConversion"/>
  </si>
  <si>
    <t>KR7315270009</t>
    <phoneticPr fontId="1" type="noConversion"/>
  </si>
  <si>
    <t>315270</t>
    <phoneticPr fontId="1" type="noConversion"/>
  </si>
  <si>
    <t>TIGER 200커뮤니케이션서비스</t>
    <phoneticPr fontId="1" type="noConversion"/>
  </si>
  <si>
    <t>KR7138920004</t>
    <phoneticPr fontId="1" type="noConversion"/>
  </si>
  <si>
    <t>138920</t>
    <phoneticPr fontId="1" type="noConversion"/>
  </si>
  <si>
    <t>KODEX 콩선물(H)</t>
    <phoneticPr fontId="1" type="noConversion"/>
  </si>
  <si>
    <t>KR7458030004</t>
    <phoneticPr fontId="1" type="noConversion"/>
  </si>
  <si>
    <t>458030</t>
    <phoneticPr fontId="1" type="noConversion"/>
  </si>
  <si>
    <t>WOORI 단기국공채액티브</t>
    <phoneticPr fontId="1" type="noConversion"/>
  </si>
  <si>
    <t>KR7395760002</t>
    <phoneticPr fontId="1" type="noConversion"/>
  </si>
  <si>
    <t>395760</t>
    <phoneticPr fontId="1" type="noConversion"/>
  </si>
  <si>
    <t>ARIRANG ESG성장주액티브</t>
    <phoneticPr fontId="1" type="noConversion"/>
  </si>
  <si>
    <t>KR7273140004</t>
    <phoneticPr fontId="1" type="noConversion"/>
  </si>
  <si>
    <t>273140</t>
    <phoneticPr fontId="1" type="noConversion"/>
  </si>
  <si>
    <t>KODEX 단기변동금리부채권액티브</t>
    <phoneticPr fontId="1" type="noConversion"/>
  </si>
  <si>
    <t>KR7407310002</t>
    <phoneticPr fontId="1" type="noConversion"/>
  </si>
  <si>
    <t>407310</t>
    <phoneticPr fontId="1" type="noConversion"/>
  </si>
  <si>
    <t>HANARO 200 TOP10</t>
    <phoneticPr fontId="1" type="noConversion"/>
  </si>
  <si>
    <t>KR7449540004</t>
    <phoneticPr fontId="1" type="noConversion"/>
  </si>
  <si>
    <t>449540</t>
    <phoneticPr fontId="1" type="noConversion"/>
  </si>
  <si>
    <t>SOL 24-06 국고채액티브</t>
    <phoneticPr fontId="1" type="noConversion"/>
  </si>
  <si>
    <t>KR7397410002</t>
    <phoneticPr fontId="1" type="noConversion"/>
  </si>
  <si>
    <t>397410</t>
    <phoneticPr fontId="1" type="noConversion"/>
  </si>
  <si>
    <t>KBSTAR 국채선물5년추종인버스</t>
    <phoneticPr fontId="1" type="noConversion"/>
  </si>
  <si>
    <t>KR7227560000</t>
    <phoneticPr fontId="1" type="noConversion"/>
  </si>
  <si>
    <t>227560</t>
    <phoneticPr fontId="1" type="noConversion"/>
  </si>
  <si>
    <t>TIGER 200 생활소비재</t>
    <phoneticPr fontId="1" type="noConversion"/>
  </si>
  <si>
    <t>KR7122260003</t>
    <phoneticPr fontId="1" type="noConversion"/>
  </si>
  <si>
    <t>122260</t>
    <phoneticPr fontId="1" type="noConversion"/>
  </si>
  <si>
    <t>KOSEF 통안채1년</t>
    <phoneticPr fontId="1" type="noConversion"/>
  </si>
  <si>
    <t>KR7426330007</t>
    <phoneticPr fontId="1" type="noConversion"/>
  </si>
  <si>
    <t>426330</t>
    <phoneticPr fontId="1" type="noConversion"/>
  </si>
  <si>
    <t>KOSEF 미국ETF산업STOXX</t>
    <phoneticPr fontId="1" type="noConversion"/>
  </si>
  <si>
    <t>KR7143460004</t>
    <phoneticPr fontId="1" type="noConversion"/>
  </si>
  <si>
    <t>143460</t>
    <phoneticPr fontId="1" type="noConversion"/>
  </si>
  <si>
    <t>ACE 밸류대형</t>
    <phoneticPr fontId="1" type="noConversion"/>
  </si>
  <si>
    <t>KR7244670006</t>
    <phoneticPr fontId="1" type="noConversion"/>
  </si>
  <si>
    <t>244670</t>
    <phoneticPr fontId="1" type="noConversion"/>
  </si>
  <si>
    <t>KODEX 밸류Plus</t>
    <phoneticPr fontId="1" type="noConversion"/>
  </si>
  <si>
    <t>KR7433850005</t>
    <phoneticPr fontId="1" type="noConversion"/>
  </si>
  <si>
    <t>433850</t>
    <phoneticPr fontId="1" type="noConversion"/>
  </si>
  <si>
    <t>ARIRANG TDF2030액티브</t>
    <phoneticPr fontId="1" type="noConversion"/>
  </si>
  <si>
    <t>KR7267450005</t>
    <phoneticPr fontId="1" type="noConversion"/>
  </si>
  <si>
    <t>267450</t>
    <phoneticPr fontId="1" type="noConversion"/>
  </si>
  <si>
    <t>KBSTAR 미국장기국채선물인버스(H)</t>
    <phoneticPr fontId="1" type="noConversion"/>
  </si>
  <si>
    <t>KR7229720008</t>
    <phoneticPr fontId="1" type="noConversion"/>
  </si>
  <si>
    <t>229720</t>
    <phoneticPr fontId="1" type="noConversion"/>
  </si>
  <si>
    <t>KODEX KTOP30</t>
    <phoneticPr fontId="1" type="noConversion"/>
  </si>
  <si>
    <t>KR7435540000</t>
    <phoneticPr fontId="1" type="noConversion"/>
  </si>
  <si>
    <t>435540</t>
    <phoneticPr fontId="1" type="noConversion"/>
  </si>
  <si>
    <t>히어로즈 TDF2040액티브</t>
    <phoneticPr fontId="1" type="noConversion"/>
  </si>
  <si>
    <t>KR7189400005</t>
    <phoneticPr fontId="1" type="noConversion"/>
  </si>
  <si>
    <t>189400</t>
    <phoneticPr fontId="1" type="noConversion"/>
  </si>
  <si>
    <t>ARIRANG 글로벌MSCI(합성 H)</t>
    <phoneticPr fontId="1" type="noConversion"/>
  </si>
  <si>
    <t>KR7419170006</t>
    <phoneticPr fontId="1" type="noConversion"/>
  </si>
  <si>
    <t>419170</t>
    <phoneticPr fontId="1" type="noConversion"/>
  </si>
  <si>
    <t>HANARO 미국메타버스iSelect</t>
    <phoneticPr fontId="1" type="noConversion"/>
  </si>
  <si>
    <t>KR7336160007</t>
    <phoneticPr fontId="1" type="noConversion"/>
  </si>
  <si>
    <t>336160</t>
    <phoneticPr fontId="1" type="noConversion"/>
  </si>
  <si>
    <t>KBSTAR 금융채액티브</t>
    <phoneticPr fontId="1" type="noConversion"/>
  </si>
  <si>
    <t>KR7272230004</t>
    <phoneticPr fontId="1" type="noConversion"/>
  </si>
  <si>
    <t>272230</t>
    <phoneticPr fontId="1" type="noConversion"/>
  </si>
  <si>
    <t>ACE 스마트밸류</t>
    <phoneticPr fontId="1" type="noConversion"/>
  </si>
  <si>
    <t>KR7424460004</t>
    <phoneticPr fontId="1" type="noConversion"/>
  </si>
  <si>
    <t>424460</t>
    <phoneticPr fontId="1" type="noConversion"/>
  </si>
  <si>
    <t>HANARO 글로벌워터MSCI(합성)</t>
    <phoneticPr fontId="1" type="noConversion"/>
  </si>
  <si>
    <t>KR7364690008</t>
    <phoneticPr fontId="1" type="noConversion"/>
  </si>
  <si>
    <t>364690</t>
    <phoneticPr fontId="1" type="noConversion"/>
  </si>
  <si>
    <t>KODEX 혁신기술테마액티브</t>
    <phoneticPr fontId="1" type="noConversion"/>
  </si>
  <si>
    <t>KR7183700004</t>
    <phoneticPr fontId="1" type="noConversion"/>
  </si>
  <si>
    <t>183700</t>
    <phoneticPr fontId="1" type="noConversion"/>
  </si>
  <si>
    <t>KBSTAR 채권혼합</t>
    <phoneticPr fontId="1" type="noConversion"/>
  </si>
  <si>
    <t>KR7104520002</t>
    <phoneticPr fontId="1" type="noConversion"/>
  </si>
  <si>
    <t>104520</t>
    <phoneticPr fontId="1" type="noConversion"/>
  </si>
  <si>
    <t>KOSEF 블루칩</t>
    <phoneticPr fontId="1" type="noConversion"/>
  </si>
  <si>
    <t>KR7234310001</t>
    <phoneticPr fontId="1" type="noConversion"/>
  </si>
  <si>
    <t>234310</t>
    <phoneticPr fontId="1" type="noConversion"/>
  </si>
  <si>
    <t>KBSTAR V&amp;S셀렉트밸류</t>
    <phoneticPr fontId="1" type="noConversion"/>
  </si>
  <si>
    <t>KR7403790009</t>
    <phoneticPr fontId="1" type="noConversion"/>
  </si>
  <si>
    <t>403790</t>
    <phoneticPr fontId="1" type="noConversion"/>
  </si>
  <si>
    <t>마이다스 KoreaStock액티브</t>
    <phoneticPr fontId="1" type="noConversion"/>
  </si>
  <si>
    <t>KR7449680008</t>
    <phoneticPr fontId="1" type="noConversion"/>
  </si>
  <si>
    <t>449680</t>
    <phoneticPr fontId="1" type="noConversion"/>
  </si>
  <si>
    <t>TIGER 한중전기차(합성)</t>
    <phoneticPr fontId="1" type="noConversion"/>
  </si>
  <si>
    <t>KR7404470007</t>
    <phoneticPr fontId="1" type="noConversion"/>
  </si>
  <si>
    <t>404470</t>
    <phoneticPr fontId="1" type="noConversion"/>
  </si>
  <si>
    <t>HANARO KRX기후변화솔루션</t>
    <phoneticPr fontId="1" type="noConversion"/>
  </si>
  <si>
    <t>KR7183710003</t>
    <phoneticPr fontId="1" type="noConversion"/>
  </si>
  <si>
    <t>183710</t>
    <phoneticPr fontId="1" type="noConversion"/>
  </si>
  <si>
    <t>KBSTAR 주식혼합</t>
    <phoneticPr fontId="1" type="noConversion"/>
  </si>
  <si>
    <t>KR7470320003</t>
    <phoneticPr fontId="1" type="noConversion"/>
  </si>
  <si>
    <t>470320</t>
    <phoneticPr fontId="1" type="noConversion"/>
  </si>
  <si>
    <t>BNK 24-11 회사채(AA-이상)액티브</t>
    <phoneticPr fontId="1" type="noConversion"/>
  </si>
  <si>
    <t>KR7139290001</t>
    <phoneticPr fontId="1" type="noConversion"/>
  </si>
  <si>
    <t>139290</t>
    <phoneticPr fontId="1" type="noConversion"/>
  </si>
  <si>
    <t>TIGER 200 경기소비재</t>
    <phoneticPr fontId="1" type="noConversion"/>
  </si>
  <si>
    <t>KR7278620000</t>
    <phoneticPr fontId="1" type="noConversion"/>
  </si>
  <si>
    <t>278620</t>
    <phoneticPr fontId="1" type="noConversion"/>
  </si>
  <si>
    <t>ARIRANG 단기채권액티브</t>
    <phoneticPr fontId="1" type="noConversion"/>
  </si>
  <si>
    <t>KR7322150004</t>
    <phoneticPr fontId="1" type="noConversion"/>
  </si>
  <si>
    <t>322150</t>
    <phoneticPr fontId="1" type="noConversion"/>
  </si>
  <si>
    <t>ACE 스마트하이베타</t>
    <phoneticPr fontId="1" type="noConversion"/>
  </si>
  <si>
    <t>KR7331910000</t>
    <phoneticPr fontId="1" type="noConversion"/>
  </si>
  <si>
    <t>331910</t>
    <phoneticPr fontId="1" type="noConversion"/>
  </si>
  <si>
    <t>KOSEF Fn중소형</t>
    <phoneticPr fontId="1" type="noConversion"/>
  </si>
  <si>
    <t>KR7272220005</t>
    <phoneticPr fontId="1" type="noConversion"/>
  </si>
  <si>
    <t>272220</t>
    <phoneticPr fontId="1" type="noConversion"/>
  </si>
  <si>
    <t>ACE 스마트모멘텀</t>
    <phoneticPr fontId="1" type="noConversion"/>
  </si>
  <si>
    <t>KR7281990002</t>
    <phoneticPr fontId="1" type="noConversion"/>
  </si>
  <si>
    <t>281990</t>
    <phoneticPr fontId="1" type="noConversion"/>
  </si>
  <si>
    <t>KBSTAR 중소형고배당</t>
    <phoneticPr fontId="1" type="noConversion"/>
  </si>
  <si>
    <t>KR7304770001</t>
    <phoneticPr fontId="1" type="noConversion"/>
  </si>
  <si>
    <t>304770</t>
    <phoneticPr fontId="1" type="noConversion"/>
  </si>
  <si>
    <t>HANARO 코스닥150</t>
    <phoneticPr fontId="1" type="noConversion"/>
  </si>
  <si>
    <t>KR7333980001</t>
    <phoneticPr fontId="1" type="noConversion"/>
  </si>
  <si>
    <t>333980</t>
    <phoneticPr fontId="1" type="noConversion"/>
  </si>
  <si>
    <t>ARIRANG KS퀄리티가중TR</t>
    <phoneticPr fontId="1" type="noConversion"/>
  </si>
  <si>
    <t>KR7289040008</t>
    <phoneticPr fontId="1" type="noConversion"/>
  </si>
  <si>
    <t>289040</t>
    <phoneticPr fontId="1" type="noConversion"/>
  </si>
  <si>
    <t>KODEX MSCI KOREA ESG유니버설</t>
    <phoneticPr fontId="1" type="noConversion"/>
  </si>
  <si>
    <t>KR7291890002</t>
    <phoneticPr fontId="1" type="noConversion"/>
  </si>
  <si>
    <t>291890</t>
    <phoneticPr fontId="1" type="noConversion"/>
  </si>
  <si>
    <t>KODEX MSCI EM선물(H)</t>
    <phoneticPr fontId="1" type="noConversion"/>
  </si>
  <si>
    <t>KR7363570003</t>
    <phoneticPr fontId="1" type="noConversion"/>
  </si>
  <si>
    <t>363570</t>
    <phoneticPr fontId="1" type="noConversion"/>
  </si>
  <si>
    <t>KODEX 장기종합채권(AA-이상)액티브KAP</t>
    <phoneticPr fontId="1" type="noConversion"/>
  </si>
  <si>
    <t>KR7433870003</t>
    <phoneticPr fontId="1" type="noConversion"/>
  </si>
  <si>
    <t>433870</t>
    <phoneticPr fontId="1" type="noConversion"/>
  </si>
  <si>
    <t>ARIRANG TDF2050액티브</t>
    <phoneticPr fontId="1" type="noConversion"/>
  </si>
  <si>
    <t>KR7114470008</t>
    <phoneticPr fontId="1" type="noConversion"/>
  </si>
  <si>
    <t>114470</t>
    <phoneticPr fontId="1" type="noConversion"/>
  </si>
  <si>
    <t>KOSEF 국고채3년</t>
    <phoneticPr fontId="1" type="noConversion"/>
  </si>
  <si>
    <t>KR7467540001</t>
    <phoneticPr fontId="1" type="noConversion"/>
  </si>
  <si>
    <t>467540</t>
    <phoneticPr fontId="1" type="noConversion"/>
  </si>
  <si>
    <t>KOSEF 코스닥글로벌</t>
    <phoneticPr fontId="1" type="noConversion"/>
  </si>
  <si>
    <t>KR7442260006</t>
    <phoneticPr fontId="1" type="noConversion"/>
  </si>
  <si>
    <t>442260</t>
    <phoneticPr fontId="1" type="noConversion"/>
  </si>
  <si>
    <t>마이티 다이나믹퀀트액티브</t>
    <phoneticPr fontId="1" type="noConversion"/>
  </si>
  <si>
    <t>KR7272910001</t>
    <phoneticPr fontId="1" type="noConversion"/>
  </si>
  <si>
    <t>272910</t>
    <phoneticPr fontId="1" type="noConversion"/>
  </si>
  <si>
    <t>ACE 중장기국공채액티브</t>
    <phoneticPr fontId="1" type="noConversion"/>
  </si>
  <si>
    <t>KR7152870002</t>
    <phoneticPr fontId="1" type="noConversion"/>
  </si>
  <si>
    <t>152870</t>
    <phoneticPr fontId="1" type="noConversion"/>
  </si>
  <si>
    <t>파워 200</t>
    <phoneticPr fontId="1" type="noConversion"/>
  </si>
  <si>
    <t>KR7450180005</t>
    <phoneticPr fontId="1" type="noConversion"/>
  </si>
  <si>
    <t>450180</t>
    <phoneticPr fontId="1" type="noConversion"/>
  </si>
  <si>
    <t>KODEX 한중전기차(합성)</t>
    <phoneticPr fontId="1" type="noConversion"/>
  </si>
  <si>
    <t>KR7445950009</t>
    <phoneticPr fontId="1" type="noConversion"/>
  </si>
  <si>
    <t>445950</t>
    <phoneticPr fontId="1" type="noConversion"/>
  </si>
  <si>
    <t>KOSEF 차이나A50커넥트인버스MSCI(합성 H)</t>
    <phoneticPr fontId="1" type="noConversion"/>
  </si>
  <si>
    <t>KR7304760002</t>
    <phoneticPr fontId="1" type="noConversion"/>
  </si>
  <si>
    <t>304760</t>
    <phoneticPr fontId="1" type="noConversion"/>
  </si>
  <si>
    <t>HANARO KRX300</t>
    <phoneticPr fontId="1" type="noConversion"/>
  </si>
  <si>
    <t>KR7332940006</t>
    <phoneticPr fontId="1" type="noConversion"/>
  </si>
  <si>
    <t>332940</t>
    <phoneticPr fontId="1" type="noConversion"/>
  </si>
  <si>
    <t>HANARO MSCI Korea TR</t>
    <phoneticPr fontId="1" type="noConversion"/>
  </si>
  <si>
    <t>KR7140950007</t>
    <phoneticPr fontId="1" type="noConversion"/>
  </si>
  <si>
    <t>140950</t>
    <phoneticPr fontId="1" type="noConversion"/>
  </si>
  <si>
    <t>파워 코스피100</t>
    <phoneticPr fontId="1" type="noConversion"/>
  </si>
  <si>
    <t>KR7404650004</t>
    <phoneticPr fontId="1" type="noConversion"/>
  </si>
  <si>
    <t>404650</t>
    <phoneticPr fontId="1" type="noConversion"/>
  </si>
  <si>
    <t>SOL KRX기후변화솔루션</t>
    <phoneticPr fontId="1" type="noConversion"/>
  </si>
  <si>
    <t>KR7436180004</t>
    <phoneticPr fontId="1" type="noConversion"/>
  </si>
  <si>
    <t>436180</t>
    <phoneticPr fontId="1" type="noConversion"/>
  </si>
  <si>
    <t>ARIRANG K-유니콘투자기업액티브</t>
    <phoneticPr fontId="1" type="noConversion"/>
  </si>
  <si>
    <t>KR7462540006</t>
    <phoneticPr fontId="1" type="noConversion"/>
  </si>
  <si>
    <t>462540</t>
    <phoneticPr fontId="1" type="noConversion"/>
  </si>
  <si>
    <t>SOL 25-09 회사채(AA-이상)액티브</t>
    <phoneticPr fontId="1" type="noConversion"/>
  </si>
  <si>
    <t>KR7469820005</t>
    <phoneticPr fontId="1" type="noConversion"/>
  </si>
  <si>
    <t>469820</t>
    <phoneticPr fontId="1" type="noConversion"/>
  </si>
  <si>
    <t>SOL 24-12 회사채(AA-이상)액티브</t>
    <phoneticPr fontId="1" type="noConversion"/>
  </si>
  <si>
    <t>KR7252000005</t>
    <phoneticPr fontId="1" type="noConversion"/>
  </si>
  <si>
    <t>252000</t>
    <phoneticPr fontId="1" type="noConversion"/>
  </si>
  <si>
    <t>TIGER 200동일가중</t>
    <phoneticPr fontId="1" type="noConversion"/>
  </si>
  <si>
    <t>KR7261920003</t>
    <phoneticPr fontId="1" type="noConversion"/>
  </si>
  <si>
    <t>261920</t>
    <phoneticPr fontId="1" type="noConversion"/>
  </si>
  <si>
    <t>ACE 필리핀MSCI(합성)</t>
    <phoneticPr fontId="1" type="noConversion"/>
  </si>
  <si>
    <t>KR7326230000</t>
    <phoneticPr fontId="1" type="noConversion"/>
  </si>
  <si>
    <t>326230</t>
    <phoneticPr fontId="1" type="noConversion"/>
  </si>
  <si>
    <t>KBSTAR 내수주플러스</t>
    <phoneticPr fontId="1" type="noConversion"/>
  </si>
  <si>
    <t>KR7438740003</t>
    <phoneticPr fontId="1" type="noConversion"/>
  </si>
  <si>
    <t>438740</t>
    <phoneticPr fontId="1" type="noConversion"/>
  </si>
  <si>
    <t>마이다스 KoreaStock중소형액티브</t>
    <phoneticPr fontId="1" type="noConversion"/>
  </si>
  <si>
    <t>KR7469580005</t>
    <phoneticPr fontId="1" type="noConversion"/>
  </si>
  <si>
    <t>469580</t>
    <phoneticPr fontId="1" type="noConversion"/>
  </si>
  <si>
    <t>KBSTAR KP달러채권액티브</t>
    <phoneticPr fontId="1" type="noConversion"/>
  </si>
  <si>
    <t>KR7471290007</t>
    <phoneticPr fontId="1" type="noConversion"/>
  </si>
  <si>
    <t>471290</t>
    <phoneticPr fontId="1" type="noConversion"/>
  </si>
  <si>
    <t>HANARO CD금리액티브(합성)</t>
    <phoneticPr fontId="1" type="noConversion"/>
  </si>
  <si>
    <t>KR7287310007</t>
    <phoneticPr fontId="1" type="noConversion"/>
  </si>
  <si>
    <t>287310</t>
    <phoneticPr fontId="1" type="noConversion"/>
  </si>
  <si>
    <t>KBSTAR 200경기소비재</t>
    <phoneticPr fontId="1" type="noConversion"/>
  </si>
  <si>
    <t>KR7337150007</t>
    <phoneticPr fontId="1" type="noConversion"/>
  </si>
  <si>
    <t>337150</t>
    <phoneticPr fontId="1" type="noConversion"/>
  </si>
  <si>
    <t>KODEX 200exTOP</t>
    <phoneticPr fontId="1" type="noConversion"/>
  </si>
  <si>
    <t>KR7360150007</t>
    <phoneticPr fontId="1" type="noConversion"/>
  </si>
  <si>
    <t>360150</t>
    <phoneticPr fontId="1" type="noConversion"/>
  </si>
  <si>
    <t>KODEX 코스닥150롱코스피200숏선물</t>
    <phoneticPr fontId="1" type="noConversion"/>
  </si>
  <si>
    <t>KR7292160009</t>
    <phoneticPr fontId="1" type="noConversion"/>
  </si>
  <si>
    <t>292160</t>
    <phoneticPr fontId="1" type="noConversion"/>
  </si>
  <si>
    <t>TIGER KRX300</t>
    <phoneticPr fontId="1" type="noConversion"/>
  </si>
  <si>
    <t>KR7368200002</t>
    <phoneticPr fontId="1" type="noConversion"/>
  </si>
  <si>
    <t>368200</t>
    <phoneticPr fontId="1" type="noConversion"/>
  </si>
  <si>
    <t>KBSTAR Fn K-뉴딜디지털플러스</t>
    <phoneticPr fontId="1" type="noConversion"/>
  </si>
  <si>
    <t>KR7454780008</t>
    <phoneticPr fontId="1" type="noConversion"/>
  </si>
  <si>
    <t>454780</t>
    <phoneticPr fontId="1" type="noConversion"/>
  </si>
  <si>
    <t>히어로즈 종합채권(AA-이상)액티브</t>
    <phoneticPr fontId="1" type="noConversion"/>
  </si>
  <si>
    <t>KR7108590001</t>
    <phoneticPr fontId="1" type="noConversion"/>
  </si>
  <si>
    <t>108590</t>
    <phoneticPr fontId="1" type="noConversion"/>
  </si>
  <si>
    <t>TREX 200</t>
    <phoneticPr fontId="1" type="noConversion"/>
  </si>
  <si>
    <t>KR7322120007</t>
    <phoneticPr fontId="1" type="noConversion"/>
  </si>
  <si>
    <t>322120</t>
    <phoneticPr fontId="1" type="noConversion"/>
  </si>
  <si>
    <t>ACE 스마트퀄리티</t>
    <phoneticPr fontId="1" type="noConversion"/>
  </si>
  <si>
    <t>KR7333970002</t>
    <phoneticPr fontId="1" type="noConversion"/>
  </si>
  <si>
    <t>333970</t>
    <phoneticPr fontId="1" type="noConversion"/>
  </si>
  <si>
    <t>ARIRANG KS밸류가중TR</t>
    <phoneticPr fontId="1" type="noConversion"/>
  </si>
  <si>
    <t>KR7280920000</t>
    <phoneticPr fontId="1" type="noConversion"/>
  </si>
  <si>
    <t>280920</t>
    <phoneticPr fontId="1" type="noConversion"/>
  </si>
  <si>
    <t>ARIRANG 주도업종</t>
    <phoneticPr fontId="1" type="noConversion"/>
  </si>
  <si>
    <t>KR7289670002</t>
    <phoneticPr fontId="1" type="noConversion"/>
  </si>
  <si>
    <t>289670</t>
    <phoneticPr fontId="1" type="noConversion"/>
  </si>
  <si>
    <t>ARIRANG 국채선물10년</t>
    <phoneticPr fontId="1" type="noConversion"/>
  </si>
  <si>
    <t>KR7461460008</t>
    <phoneticPr fontId="1" type="noConversion"/>
  </si>
  <si>
    <t>461460</t>
    <phoneticPr fontId="1" type="noConversion"/>
  </si>
  <si>
    <t>ARIRANG 국고채10년액티브</t>
    <phoneticPr fontId="1" type="noConversion"/>
  </si>
  <si>
    <t>KR7266550003</t>
    <phoneticPr fontId="1" type="noConversion"/>
  </si>
  <si>
    <t>266550</t>
    <phoneticPr fontId="1" type="noConversion"/>
  </si>
  <si>
    <t>ARIRANG 중형주저변동50</t>
    <phoneticPr fontId="1" type="noConversion"/>
  </si>
  <si>
    <t>KR7295820005</t>
    <phoneticPr fontId="1" type="noConversion"/>
  </si>
  <si>
    <t>295820</t>
    <phoneticPr fontId="1" type="noConversion"/>
  </si>
  <si>
    <t>ARIRANG 200동일가중</t>
    <phoneticPr fontId="1" type="noConversion"/>
  </si>
  <si>
    <t>KR7319870002</t>
    <phoneticPr fontId="1" type="noConversion"/>
  </si>
  <si>
    <t>319870</t>
    <phoneticPr fontId="1" type="noConversion"/>
  </si>
  <si>
    <t>KBSTAR KRX300미국달러선물혼합</t>
    <phoneticPr fontId="1" type="noConversion"/>
  </si>
  <si>
    <t>KR7333960003</t>
    <phoneticPr fontId="1" type="noConversion"/>
  </si>
  <si>
    <t>333960</t>
    <phoneticPr fontId="1" type="noConversion"/>
  </si>
  <si>
    <t>ARIRANG KS모멘텀가중TR</t>
    <phoneticPr fontId="1" type="noConversion"/>
  </si>
  <si>
    <t>KR7403990005</t>
    <phoneticPr fontId="1" type="noConversion"/>
  </si>
  <si>
    <t>403990</t>
    <phoneticPr fontId="1" type="noConversion"/>
  </si>
  <si>
    <t>KBSTAR KRX기후변화솔루션</t>
    <phoneticPr fontId="1" type="noConversion"/>
  </si>
  <si>
    <t>KR7315480004</t>
    <phoneticPr fontId="1" type="noConversion"/>
  </si>
  <si>
    <t>315480</t>
    <phoneticPr fontId="1" type="noConversion"/>
  </si>
  <si>
    <t>KBSTAR 200커뮤니케이션서비스</t>
    <phoneticPr fontId="1" type="noConversion"/>
  </si>
  <si>
    <t>KR7322130006</t>
    <phoneticPr fontId="1" type="noConversion"/>
  </si>
  <si>
    <t>322130</t>
    <phoneticPr fontId="1" type="noConversion"/>
  </si>
  <si>
    <t>ACE 스마트로우볼</t>
    <phoneticPr fontId="1" type="noConversion"/>
  </si>
  <si>
    <t>KR7131890006</t>
    <phoneticPr fontId="1" type="noConversion"/>
  </si>
  <si>
    <t>131890</t>
    <phoneticPr fontId="1" type="noConversion"/>
  </si>
  <si>
    <t>ACE 삼성그룹동일가중</t>
    <phoneticPr fontId="1" type="noConversion"/>
  </si>
  <si>
    <t>KR7333940005</t>
    <phoneticPr fontId="1" type="noConversion"/>
  </si>
  <si>
    <t>333940</t>
    <phoneticPr fontId="1" type="noConversion"/>
  </si>
  <si>
    <t>ARIRANG KS로우볼가중TR</t>
    <phoneticPr fontId="1" type="noConversion"/>
  </si>
  <si>
    <t>KR7140570003</t>
    <phoneticPr fontId="1" type="noConversion"/>
  </si>
  <si>
    <t>140570</t>
    <phoneticPr fontId="1" type="noConversion"/>
  </si>
  <si>
    <t>KBSTAR 수출주</t>
    <phoneticPr fontId="1" type="noConversion"/>
  </si>
  <si>
    <t>KR7463290007</t>
    <phoneticPr fontId="1" type="noConversion"/>
  </si>
  <si>
    <t>463290</t>
    <phoneticPr fontId="1" type="noConversion"/>
  </si>
  <si>
    <t>KTOP 단기금융채액티브</t>
    <phoneticPr fontId="1" type="noConversion"/>
  </si>
  <si>
    <t>KR7450910005</t>
    <phoneticPr fontId="1" type="noConversion"/>
  </si>
  <si>
    <t>450910</t>
    <phoneticPr fontId="1" type="noConversion"/>
  </si>
  <si>
    <t>SOL 코스닥150</t>
    <phoneticPr fontId="1" type="noConversion"/>
  </si>
  <si>
    <t>KR7292750007</t>
    <phoneticPr fontId="1" type="noConversion"/>
  </si>
  <si>
    <t>292750</t>
    <phoneticPr fontId="1" type="noConversion"/>
  </si>
  <si>
    <t>ARIRANG KRX300</t>
    <phoneticPr fontId="1" type="noConversion"/>
  </si>
  <si>
    <t>KR7333950004</t>
    <phoneticPr fontId="1" type="noConversion"/>
  </si>
  <si>
    <t>333950</t>
    <phoneticPr fontId="1" type="noConversion"/>
  </si>
  <si>
    <t>ARIRANG KS로우사이즈가중TR</t>
    <phoneticPr fontId="1" type="noConversion"/>
  </si>
  <si>
    <t>KR7321410003</t>
    <phoneticPr fontId="1" type="noConversion"/>
  </si>
  <si>
    <t>321410</t>
    <phoneticPr fontId="1" type="noConversion"/>
  </si>
  <si>
    <t>KODEX 멀티에셋하이인컴(H)</t>
    <phoneticPr fontId="1" type="noConversion"/>
  </si>
  <si>
    <t>KR7441330008</t>
    <phoneticPr fontId="1" type="noConversion"/>
  </si>
  <si>
    <t>441330</t>
    <phoneticPr fontId="1" type="noConversion"/>
  </si>
  <si>
    <t>KOSEF 차이나A50커넥트MSCI</t>
    <phoneticPr fontId="1" type="noConversion"/>
  </si>
  <si>
    <t>KR7227550001</t>
    <phoneticPr fontId="1" type="noConversion"/>
  </si>
  <si>
    <t>227550</t>
    <phoneticPr fontId="1" type="noConversion"/>
  </si>
  <si>
    <t>TIGER 200 산업재</t>
    <phoneticPr fontId="1" type="noConversion"/>
  </si>
  <si>
    <t>KR7373530005</t>
    <phoneticPr fontId="1" type="noConversion"/>
  </si>
  <si>
    <t>373530</t>
    <phoneticPr fontId="1" type="noConversion"/>
  </si>
  <si>
    <t>ARIRANG 신흥국MSCI인버스(합성 H)</t>
    <phoneticPr fontId="1" type="noConversion"/>
  </si>
  <si>
    <t>KR7436140008</t>
    <phoneticPr fontId="1" type="noConversion"/>
  </si>
  <si>
    <t>436140</t>
    <phoneticPr fontId="1" type="noConversion"/>
  </si>
  <si>
    <t>SOL 종합채권(AA-이상)액티브</t>
    <phoneticPr fontId="1" type="noConversion"/>
  </si>
  <si>
    <t>KR7451000004</t>
    <phoneticPr fontId="1" type="noConversion"/>
  </si>
  <si>
    <t>451000</t>
    <phoneticPr fontId="1" type="noConversion"/>
  </si>
  <si>
    <t>ARIRANG 종합채권(AA-이상)액티브</t>
    <phoneticPr fontId="1" type="noConversion"/>
  </si>
  <si>
    <t>KR7252730007</t>
    <phoneticPr fontId="1" type="noConversion"/>
  </si>
  <si>
    <t>252730</t>
    <phoneticPr fontId="1" type="noConversion"/>
  </si>
  <si>
    <t>KBSTAR 모멘텀로우볼</t>
    <phoneticPr fontId="1" type="noConversion"/>
  </si>
  <si>
    <t>KR7289250003</t>
    <phoneticPr fontId="1" type="noConversion"/>
  </si>
  <si>
    <t>289250</t>
    <phoneticPr fontId="1" type="noConversion"/>
  </si>
  <si>
    <t>TIGER MSCI KOREA ESG유니버설</t>
    <phoneticPr fontId="1" type="noConversion"/>
  </si>
  <si>
    <t>KR7465780005</t>
    <phoneticPr fontId="1" type="noConversion"/>
  </si>
  <si>
    <t>465780</t>
    <phoneticPr fontId="1" type="noConversion"/>
  </si>
  <si>
    <t>마이티 26-09 특수채(AAA)액티브</t>
    <phoneticPr fontId="1" type="noConversion"/>
  </si>
  <si>
    <t>KR7215620006</t>
    <phoneticPr fontId="1" type="noConversion"/>
  </si>
  <si>
    <t>215620</t>
    <phoneticPr fontId="1" type="noConversion"/>
  </si>
  <si>
    <t>HK S&amp;P코리아로우볼</t>
    <phoneticPr fontId="1" type="noConversion"/>
  </si>
  <si>
    <t>KR7252720008</t>
    <phoneticPr fontId="1" type="noConversion"/>
  </si>
  <si>
    <t>252720</t>
    <phoneticPr fontId="1" type="noConversion"/>
  </si>
  <si>
    <t>KBSTAR 모멘텀밸류</t>
    <phoneticPr fontId="1" type="noConversion"/>
  </si>
  <si>
    <t>KR7363510009</t>
    <phoneticPr fontId="1" type="noConversion"/>
  </si>
  <si>
    <t>363510</t>
    <phoneticPr fontId="1" type="noConversion"/>
  </si>
  <si>
    <t>SOL KIS단기통안채</t>
    <phoneticPr fontId="1" type="noConversion"/>
  </si>
  <si>
    <t>KR7295020002</t>
    <phoneticPr fontId="1" type="noConversion"/>
  </si>
  <si>
    <t>295020</t>
    <phoneticPr fontId="1" type="noConversion"/>
  </si>
  <si>
    <t>KBSTAR 국채선물10년인버스</t>
    <phoneticPr fontId="1" type="noConversion"/>
  </si>
  <si>
    <t>KR7432850006</t>
    <phoneticPr fontId="1" type="noConversion"/>
  </si>
  <si>
    <t>432850</t>
    <phoneticPr fontId="1" type="noConversion"/>
  </si>
  <si>
    <t>HANARO 글로벌백신치료제MSCI</t>
    <phoneticPr fontId="1" type="noConversion"/>
  </si>
  <si>
    <t>KR7435530001</t>
    <phoneticPr fontId="1" type="noConversion"/>
  </si>
  <si>
    <t>435530</t>
    <phoneticPr fontId="1" type="noConversion"/>
  </si>
  <si>
    <t>히어로즈 TDF2030액티브</t>
    <phoneticPr fontId="1" type="noConversion"/>
  </si>
  <si>
    <t>KR7439860008</t>
    <phoneticPr fontId="1" type="noConversion"/>
  </si>
  <si>
    <t>439860</t>
    <phoneticPr fontId="1" type="noConversion"/>
  </si>
  <si>
    <t>KODEX ESG종합채권(A-이상)액티브</t>
    <phoneticPr fontId="1" type="noConversion"/>
  </si>
  <si>
    <t>KR7457930006</t>
    <phoneticPr fontId="1" type="noConversion"/>
  </si>
  <si>
    <t>457930</t>
    <phoneticPr fontId="1" type="noConversion"/>
  </si>
  <si>
    <t>BNK 미래전략기술액티브</t>
    <phoneticPr fontId="1" type="noConversion"/>
  </si>
  <si>
    <t>KR7469530000</t>
    <phoneticPr fontId="1" type="noConversion"/>
  </si>
  <si>
    <t>469530</t>
    <phoneticPr fontId="1" type="noConversion"/>
  </si>
  <si>
    <t>KBSTAR 미국달러선물인버스</t>
    <phoneticPr fontId="1" type="noConversion"/>
  </si>
  <si>
    <t>KR7292500006</t>
    <phoneticPr fontId="1" type="noConversion"/>
  </si>
  <si>
    <t>292500</t>
    <phoneticPr fontId="1" type="noConversion"/>
  </si>
  <si>
    <t>SOL KRX300</t>
    <phoneticPr fontId="1" type="noConversion"/>
  </si>
  <si>
    <t>KR7159800002</t>
    <phoneticPr fontId="1" type="noConversion"/>
  </si>
  <si>
    <t>159800</t>
    <phoneticPr fontId="1" type="noConversion"/>
  </si>
  <si>
    <t>마이티 코스피100</t>
    <phoneticPr fontId="1" type="noConversion"/>
  </si>
  <si>
    <t>KR7275280006</t>
    <phoneticPr fontId="1" type="noConversion"/>
  </si>
  <si>
    <t>275280</t>
    <phoneticPr fontId="1" type="noConversion"/>
  </si>
  <si>
    <t>KODEX MSCI모멘텀</t>
    <phoneticPr fontId="1" type="noConversion"/>
  </si>
  <si>
    <t>KR7282000009</t>
    <phoneticPr fontId="1" type="noConversion"/>
  </si>
  <si>
    <t>282000</t>
    <phoneticPr fontId="1" type="noConversion"/>
  </si>
  <si>
    <t>KBSTAR 국고채3년선물인버스</t>
    <phoneticPr fontId="1" type="noConversion"/>
  </si>
  <si>
    <t>KR7397420001</t>
    <phoneticPr fontId="1" type="noConversion"/>
  </si>
  <si>
    <t>397420</t>
    <phoneticPr fontId="1" type="noConversion"/>
  </si>
  <si>
    <t>KBSTAR 국채선물5년추종</t>
    <phoneticPr fontId="1" type="noConversion"/>
  </si>
  <si>
    <t>KR7432600005</t>
    <phoneticPr fontId="1" type="noConversion"/>
  </si>
  <si>
    <t>432600</t>
    <phoneticPr fontId="1" type="noConversion"/>
  </si>
  <si>
    <t>KBSTAR 국채선물3년</t>
    <phoneticPr fontId="1" type="noConversion"/>
  </si>
  <si>
    <t>KR7285690004</t>
    <phoneticPr fontId="1" type="noConversion"/>
  </si>
  <si>
    <t>285690</t>
    <phoneticPr fontId="1" type="noConversion"/>
  </si>
  <si>
    <t>FOCUS ESG리더스</t>
    <phoneticPr fontId="1" type="noConversion"/>
  </si>
  <si>
    <t>KR7292770005</t>
    <phoneticPr fontId="1" type="noConversion"/>
  </si>
  <si>
    <t>292770</t>
    <phoneticPr fontId="1" type="noConversion"/>
  </si>
  <si>
    <t>KODEX 국채선물3년인버스</t>
    <phoneticPr fontId="1" type="noConversion"/>
  </si>
  <si>
    <t>KR7449690007</t>
    <phoneticPr fontId="1" type="noConversion"/>
  </si>
  <si>
    <t>449690</t>
    <phoneticPr fontId="1" type="noConversion"/>
  </si>
  <si>
    <t>TIGER 한중반도체(합성)</t>
    <phoneticPr fontId="1" type="noConversion"/>
  </si>
  <si>
    <t>KR7145850004</t>
    <phoneticPr fontId="1" type="noConversion"/>
  </si>
  <si>
    <t>145850</t>
    <phoneticPr fontId="1" type="noConversion"/>
  </si>
  <si>
    <t>TREX 펀더멘탈 200</t>
    <phoneticPr fontId="1" type="noConversion"/>
  </si>
  <si>
    <t>KR7292730009</t>
    <phoneticPr fontId="1" type="noConversion"/>
  </si>
  <si>
    <t>292730</t>
    <phoneticPr fontId="1" type="noConversion"/>
  </si>
  <si>
    <t>FOCUS KRX300</t>
    <phoneticPr fontId="1" type="noConversion"/>
  </si>
  <si>
    <t>KR7391670007</t>
    <phoneticPr fontId="1" type="noConversion"/>
  </si>
  <si>
    <t>391670</t>
    <phoneticPr fontId="1" type="noConversion"/>
  </si>
  <si>
    <t>HK 베스트일레븐액티브</t>
    <phoneticPr fontId="1" type="noConversion"/>
  </si>
  <si>
    <t>KR7402520001</t>
    <phoneticPr fontId="1" type="noConversion"/>
  </si>
  <si>
    <t>402520</t>
    <phoneticPr fontId="1" type="noConversion"/>
  </si>
  <si>
    <t>FOCUS 혁신기업액티브</t>
    <phoneticPr fontId="1" type="noConversion"/>
  </si>
  <si>
    <t>KR7456200005</t>
    <phoneticPr fontId="1" type="noConversion"/>
  </si>
  <si>
    <t>456200</t>
    <phoneticPr fontId="1" type="noConversion"/>
  </si>
  <si>
    <t>ARIRANG 미국달러SOFR금리액티브(합성)</t>
    <phoneticPr fontId="1" type="noConversion"/>
  </si>
  <si>
    <t>KR7176950004</t>
    <phoneticPr fontId="1" type="noConversion"/>
  </si>
  <si>
    <t>176950</t>
    <phoneticPr fontId="1" type="noConversion"/>
  </si>
  <si>
    <t>KODEX 국채선물10년인버스</t>
    <phoneticPr fontId="1" type="noConversion"/>
  </si>
  <si>
    <t>KR7244660007</t>
    <phoneticPr fontId="1" type="noConversion"/>
  </si>
  <si>
    <t>244660</t>
    <phoneticPr fontId="1" type="noConversion"/>
  </si>
  <si>
    <t>KODEX 퀄리티Plus</t>
    <phoneticPr fontId="1" type="noConversion"/>
  </si>
  <si>
    <t>KR7252650007</t>
    <phoneticPr fontId="1" type="noConversion"/>
  </si>
  <si>
    <t>252650</t>
    <phoneticPr fontId="1" type="noConversion"/>
  </si>
  <si>
    <t>KODEX 200동일가중</t>
    <phoneticPr fontId="1" type="noConversion"/>
  </si>
  <si>
    <t>KR7265690008</t>
    <phoneticPr fontId="1" type="noConversion"/>
  </si>
  <si>
    <t>265690</t>
    <phoneticPr fontId="1" type="noConversion"/>
  </si>
  <si>
    <t>ACE 러시아MSCI(합성)</t>
    <phoneticPr fontId="1" type="noConversion"/>
  </si>
  <si>
    <t>KR7275290005</t>
    <phoneticPr fontId="1" type="noConversion"/>
  </si>
  <si>
    <t>275290</t>
    <phoneticPr fontId="1" type="noConversion"/>
  </si>
  <si>
    <t>KODEX MSCI밸류</t>
    <phoneticPr fontId="1" type="noConversion"/>
  </si>
  <si>
    <t>KR7279540009</t>
    <phoneticPr fontId="1" type="noConversion"/>
  </si>
  <si>
    <t>279540</t>
    <phoneticPr fontId="1" type="noConversion"/>
  </si>
  <si>
    <t>KODEX 최소변동성</t>
    <phoneticPr fontId="1" type="noConversion"/>
  </si>
  <si>
    <t>KR7292340007</t>
    <phoneticPr fontId="1" type="noConversion"/>
  </si>
  <si>
    <t>292340</t>
    <phoneticPr fontId="1" type="noConversion"/>
  </si>
  <si>
    <t>마이티 200커버드콜ATM레버리지</t>
    <phoneticPr fontId="1" type="noConversion"/>
  </si>
  <si>
    <t>KR7298340001</t>
    <phoneticPr fontId="1" type="noConversion"/>
  </si>
  <si>
    <t>298340</t>
    <phoneticPr fontId="1" type="noConversion"/>
  </si>
  <si>
    <t>ARIRANG 국채선물3년</t>
    <phoneticPr fontId="1" type="noConversion"/>
  </si>
  <si>
    <t>KR7299070003</t>
    <phoneticPr fontId="1" type="noConversion"/>
  </si>
  <si>
    <t>299070</t>
    <phoneticPr fontId="1" type="noConversion"/>
  </si>
  <si>
    <t>ACE 국채선물10년인버스</t>
    <phoneticPr fontId="1" type="noConversion"/>
  </si>
  <si>
    <t>KR7299080002</t>
    <phoneticPr fontId="1" type="noConversion"/>
  </si>
  <si>
    <t>299080</t>
    <phoneticPr fontId="1" type="noConversion"/>
  </si>
  <si>
    <t>ACE 국채선물3년인버스</t>
    <phoneticPr fontId="1" type="noConversion"/>
  </si>
  <si>
    <t>KR7337120000</t>
    <phoneticPr fontId="1" type="noConversion"/>
  </si>
  <si>
    <t>337120</t>
    <phoneticPr fontId="1" type="noConversion"/>
  </si>
  <si>
    <t>KODEX Fn멀티팩터</t>
    <phoneticPr fontId="1" type="noConversion"/>
  </si>
  <si>
    <t>KR7390950004</t>
    <phoneticPr fontId="1" type="noConversion"/>
  </si>
  <si>
    <t>390950</t>
    <phoneticPr fontId="1" type="noConversion"/>
  </si>
  <si>
    <t>HANARO 단기채권액티브</t>
    <phoneticPr fontId="1" type="noConversion"/>
  </si>
  <si>
    <t>KR7391680006</t>
    <phoneticPr fontId="1" type="noConversion"/>
  </si>
  <si>
    <t>391680</t>
    <phoneticPr fontId="1" type="noConversion"/>
  </si>
  <si>
    <t>HK 하이볼액티브</t>
    <phoneticPr fontId="1" type="noConversion"/>
  </si>
  <si>
    <t>KR7419890009</t>
    <phoneticPr fontId="1" type="noConversion"/>
  </si>
  <si>
    <t>419890</t>
    <phoneticPr fontId="1" type="noConversion"/>
  </si>
  <si>
    <t>히어로즈 단기채권ESG액티브</t>
    <phoneticPr fontId="1" type="noConversion"/>
  </si>
  <si>
    <t>KR7448870006</t>
    <phoneticPr fontId="1" type="noConversion"/>
  </si>
  <si>
    <t>448870</t>
    <phoneticPr fontId="1" type="noConversion"/>
  </si>
  <si>
    <t>ACE 23-12 회사채(AA-이상)액티브</t>
    <phoneticPr fontId="1" type="noConversion"/>
  </si>
  <si>
    <t>KR7458210002</t>
    <phoneticPr fontId="1" type="noConversion"/>
  </si>
  <si>
    <t>458210</t>
    <phoneticPr fontId="1" type="noConversion"/>
  </si>
  <si>
    <t>히어로즈 CD금리액티브(합성)</t>
    <phoneticPr fontId="1" type="noConversion"/>
  </si>
  <si>
    <t>KR7461500001</t>
    <phoneticPr fontId="1" type="noConversion"/>
  </si>
  <si>
    <t>461500</t>
    <phoneticPr fontId="1" type="noConversion"/>
  </si>
  <si>
    <t>HANARO 종합채권(AA-이상)액티브</t>
    <phoneticPr fontId="1" type="noConversion"/>
  </si>
  <si>
    <t>KR7472920008</t>
    <phoneticPr fontId="1" type="noConversion"/>
  </si>
  <si>
    <t>472920</t>
    <phoneticPr fontId="1" type="noConversion"/>
  </si>
  <si>
    <t>HK 종합채권(AA-이상)액티브</t>
    <phoneticPr fontId="1" type="noConversion"/>
  </si>
  <si>
    <t>(range: TradHistoryConfig)</t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</si>
  <si>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단위:백만)</t>
    </r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</si>
  <si>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 억</t>
    </r>
    <r>
      <rPr>
        <sz val="10"/>
        <color theme="1"/>
        <rFont val="Consolas"/>
        <family val="3"/>
      </rPr>
      <t>)</t>
    </r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</si>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</sst>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;[Blue]\-#,##0"/>
    <numFmt numFmtId="177" formatCode="0.000%"/>
    <numFmt numFmtId="178" formatCode="#,##0.0;[Blue]\-#,##0.0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0"/>
      <color theme="4" tint="0.79998168889431442"/>
      <name val="Consolas"/>
      <family val="3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onsolas"/>
      <family val="3"/>
    </font>
    <font>
      <sz val="11"/>
      <color theme="1"/>
      <name val="맑은 고딕"/>
      <family val="2"/>
      <charset val="129"/>
      <scheme val="minor"/>
    </font>
    <font>
      <sz val="9"/>
      <color theme="4" tint="0.79998168889431442"/>
      <name val="Consolas"/>
      <family val="3"/>
    </font>
    <font>
      <sz val="9"/>
      <color theme="1"/>
      <name val="Consolas"/>
      <family val="3"/>
    </font>
    <font>
      <b/>
      <sz val="11"/>
      <color theme="1"/>
      <name val="Consolas"/>
      <family val="3"/>
    </font>
    <font>
      <sz val="10"/>
      <name val="Consolas"/>
      <family val="3"/>
    </font>
    <font>
      <sz val="8"/>
      <color theme="4" tint="0.79998168889431442"/>
      <name val="Consolas"/>
      <family val="3"/>
    </font>
    <font>
      <sz val="8"/>
      <color theme="1"/>
      <name val="Consolas"/>
      <family val="3"/>
    </font>
    <font>
      <sz val="10"/>
      <color theme="1"/>
      <name val="Arial Unicode MS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quotePrefix="1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>
      <alignment vertical="center"/>
    </xf>
    <xf numFmtId="0" fontId="3" fillId="0" borderId="0" xfId="0" quotePrefix="1" applyFont="1" applyAlignment="1">
      <alignment horizontal="left" vertical="center"/>
    </xf>
    <xf numFmtId="14" fontId="3" fillId="0" borderId="0" xfId="0" applyNumberFormat="1" applyFont="1">
      <alignment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7" fontId="3" fillId="0" borderId="0" xfId="1" applyNumberFormat="1" applyFont="1">
      <alignment vertical="center"/>
    </xf>
    <xf numFmtId="49" fontId="4" fillId="2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9" fontId="3" fillId="0" borderId="0" xfId="1" applyFont="1" applyAlignment="1">
      <alignment horizontal="left" vertical="center"/>
    </xf>
    <xf numFmtId="49" fontId="4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176" fontId="3" fillId="0" borderId="0" xfId="0" applyNumberFormat="1" applyFont="1">
      <alignment vertical="center"/>
    </xf>
    <xf numFmtId="0" fontId="15" fillId="2" borderId="0" xfId="0" applyFont="1" applyFill="1" applyAlignment="1">
      <alignment horizontal="left" vertical="center"/>
    </xf>
    <xf numFmtId="49" fontId="15" fillId="2" borderId="0" xfId="0" applyNumberFormat="1" applyFont="1" applyFill="1" applyAlignment="1">
      <alignment horizontal="center" vertical="center"/>
    </xf>
    <xf numFmtId="0" fontId="16" fillId="0" borderId="0" xfId="0" applyFont="1" applyAlignment="1">
      <alignment horizontal="left" vertical="center"/>
    </xf>
    <xf numFmtId="49" fontId="16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4</xdr:row>
          <xdr:rowOff>161925</xdr:rowOff>
        </xdr:from>
        <xdr:to>
          <xdr:col>6</xdr:col>
          <xdr:colOff>76200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save name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13</xdr:row>
          <xdr:rowOff>161925</xdr:rowOff>
        </xdr:from>
        <xdr:to>
          <xdr:col>6</xdr:col>
          <xdr:colOff>76200</xdr:colOff>
          <xdr:row>15</xdr:row>
          <xdr:rowOff>57150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save base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20</xdr:row>
          <xdr:rowOff>95250</xdr:rowOff>
        </xdr:from>
        <xdr:to>
          <xdr:col>6</xdr:col>
          <xdr:colOff>257175</xdr:colOff>
          <xdr:row>21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save trade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3</xdr:row>
          <xdr:rowOff>104775</xdr:rowOff>
        </xdr:from>
        <xdr:to>
          <xdr:col>4</xdr:col>
          <xdr:colOff>38100</xdr:colOff>
          <xdr:row>4</xdr:row>
          <xdr:rowOff>200025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1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rank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5</xdr:row>
          <xdr:rowOff>28575</xdr:rowOff>
        </xdr:from>
        <xdr:to>
          <xdr:col>1</xdr:col>
          <xdr:colOff>990600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nbeom Lee" id="{DD14C463-8D01-4DAC-9C82-F342F2B457EF}" userId="09088cc66feaf27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3-12-16T13:52:45.29" personId="{DD14C463-8D01-4DAC-9C82-F342F2B457EF}" id="{56714E98-8BF9-47D0-BD14-78D60102208D}">
    <text xml:space="preserve">[1:거래소 2:거래소 기타 5:KRX 7:코스닥 8:코스닥 기타] </text>
  </threadedComment>
  <threadedComment ref="B27" dT="2023-12-16T13:34:22.77" personId="{DD14C463-8D01-4DAC-9C82-F342F2B457EF}" id="{FDB9004A-E5DE-4E60-B116-CB1502E76E9F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5" dT="2023-12-16T13:34:22.77" personId="{DD14C463-8D01-4DAC-9C82-F342F2B457EF}" id="{A23B9347-FDA8-495C-BA5B-BC051C63BB3B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6" dT="2023-12-16T13:52:45.29" personId="{DD14C463-8D01-4DAC-9C82-F342F2B457EF}" id="{07F26996-A0BF-45FB-BA42-3CFB83EA14A8}">
    <text xml:space="preserve">[1:거래소 2:거래소 기타 5:KRX 7:코스닥 8:코스닥 기타] </text>
  </threadedComment>
  <threadedComment ref="B7" dT="2023-12-16T13:34:22.77" personId="{DD14C463-8D01-4DAC-9C82-F342F2B457EF}" id="{711EF58D-2517-4C1A-AF87-2A2AF14CCCFD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8" dT="2023-12-16T13:35:08.38" personId="{DD14C463-8D01-4DAC-9C82-F342F2B457EF}" id="{1EE22EB8-B6E9-482C-9A60-2DD5BA2A7196}">
    <text xml:space="preserve">[등락률(rate), 시가총액(cap, marketcap), 거래대금(trading_value, trading), 거래량(trading_vol, vol, volume), 가격(price, close)] 
</text>
  </threadedComment>
  <threadedComment ref="B14" dT="2023-12-16T13:52:45.29" personId="{DD14C463-8D01-4DAC-9C82-F342F2B457EF}" id="{4D7AFA4D-C01B-4C73-A73B-26E64E58ED81}">
    <text xml:space="preserve">[1:거래소 2:거래소 기타 5:KRX 7:코스닥 8:코스닥 기타] </text>
  </threadedComment>
  <threadedComment ref="B15" dT="2023-12-16T13:34:22.77" personId="{DD14C463-8D01-4DAC-9C82-F342F2B457EF}" id="{81F8BD54-9103-459B-AA6A-1E1FCE8BD1A2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16" dT="2023-12-16T13:35:08.38" personId="{DD14C463-8D01-4DAC-9C82-F342F2B457EF}" id="{6D6FF74A-096D-450A-BD5A-7464B0EB3ED0}">
    <text xml:space="preserve">[등락률(rate), 시가총액(cap, marketcap), 거래대금(trading_value, trading), 거래량(trading_vol, vol, volume), 가격(price, close)] 
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Q236"/>
  <sheetViews>
    <sheetView topLeftCell="A2" zoomScaleNormal="100" workbookViewId="0">
      <selection activeCell="O31" sqref="O31"/>
    </sheetView>
  </sheetViews>
  <sheetFormatPr defaultRowHeight="16.5"/>
  <cols>
    <col min="1" max="1" width="9" style="1"/>
    <col min="2" max="2" width="15.5" style="2" customWidth="1"/>
    <col min="3" max="3" width="11.625" style="2" bestFit="1" customWidth="1"/>
    <col min="4" max="7" width="9" style="2"/>
    <col min="8" max="17" width="9" style="1"/>
  </cols>
  <sheetData>
    <row r="3" spans="2:3">
      <c r="B3" s="2" t="s">
        <v>0</v>
      </c>
    </row>
    <row r="4" spans="2:3">
      <c r="B4" s="2" t="s">
        <v>813</v>
      </c>
      <c r="C4" s="4"/>
    </row>
    <row r="5" spans="2:3">
      <c r="B5" s="3" t="s">
        <v>1</v>
      </c>
      <c r="C5" s="5">
        <v>32874</v>
      </c>
    </row>
    <row r="6" spans="2:3">
      <c r="B6" s="3" t="s">
        <v>2</v>
      </c>
      <c r="C6" s="6">
        <f ca="1">TODAY()</f>
        <v>45289</v>
      </c>
    </row>
    <row r="7" spans="2:3">
      <c r="B7" s="3" t="s">
        <v>3</v>
      </c>
      <c r="C7" s="4" t="s">
        <v>5</v>
      </c>
    </row>
    <row r="8" spans="2:3">
      <c r="B8" s="3" t="s">
        <v>4</v>
      </c>
      <c r="C8" s="9" t="b">
        <v>1</v>
      </c>
    </row>
    <row r="11" spans="2:3">
      <c r="B11" s="2" t="s">
        <v>11</v>
      </c>
    </row>
    <row r="12" spans="2:3">
      <c r="B12" s="2" t="s">
        <v>812</v>
      </c>
    </row>
    <row r="13" spans="2:3">
      <c r="B13" s="3" t="s">
        <v>6</v>
      </c>
      <c r="C13" s="2" t="s">
        <v>5</v>
      </c>
    </row>
    <row r="14" spans="2:3">
      <c r="B14" s="3" t="s">
        <v>4</v>
      </c>
      <c r="C14" s="9" t="b">
        <v>1</v>
      </c>
    </row>
    <row r="15" spans="2:3">
      <c r="B15" s="3" t="s">
        <v>7</v>
      </c>
      <c r="C15" s="2" t="s">
        <v>10</v>
      </c>
    </row>
    <row r="16" spans="2:3">
      <c r="B16" s="3" t="s">
        <v>8</v>
      </c>
      <c r="C16" s="4">
        <v>5</v>
      </c>
    </row>
    <row r="17" spans="2:3">
      <c r="B17" s="3" t="s">
        <v>9</v>
      </c>
      <c r="C17" s="4">
        <v>5</v>
      </c>
    </row>
    <row r="21" spans="2:3">
      <c r="B21" s="2" t="s">
        <v>4137</v>
      </c>
    </row>
    <row r="22" spans="2:3">
      <c r="B22" s="3" t="s">
        <v>1683</v>
      </c>
      <c r="C22" s="5">
        <v>35796</v>
      </c>
    </row>
    <row r="23" spans="2:3">
      <c r="B23" s="3" t="s">
        <v>1684</v>
      </c>
      <c r="C23" s="5">
        <v>40543</v>
      </c>
    </row>
    <row r="24" spans="2:3">
      <c r="B24" s="3" t="s">
        <v>1685</v>
      </c>
      <c r="C24" s="2" t="s">
        <v>4140</v>
      </c>
    </row>
    <row r="25" spans="2:3">
      <c r="B25" s="3" t="s">
        <v>1686</v>
      </c>
      <c r="C25" s="4" t="str">
        <f>$C$27&amp;"-" &amp; $C$24 &amp; "-" &amp; TEXT($C$22, "yyyymmdd") &amp; "-" &amp; TEXT($C$23, "yyyymmdd") &amp;".json"</f>
        <v>EF-D-19980101-20101231.json</v>
      </c>
    </row>
    <row r="26" spans="2:3">
      <c r="B26" s="3" t="s">
        <v>1700</v>
      </c>
    </row>
    <row r="27" spans="2:3">
      <c r="B27" s="3" t="s">
        <v>1706</v>
      </c>
      <c r="C27" s="2" t="s">
        <v>1701</v>
      </c>
    </row>
    <row r="236" ht="9.75" customHeight="1"/>
  </sheetData>
  <phoneticPr fontId="1" type="noConversion"/>
  <dataValidations count="3">
    <dataValidation type="list" allowBlank="1" showInputMessage="1" showErrorMessage="1" sqref="C24" xr:uid="{6D031A03-BE7C-402A-9A32-5678FFA066AE}">
      <formula1>"D, M, Q, Y"</formula1>
    </dataValidation>
    <dataValidation type="list" allowBlank="1" showInputMessage="1" showErrorMessage="1" sqref="C27" xr:uid="{6AE8431F-49BD-4B20-B06D-2D856BE8D45A}">
      <formula1>"ST, MF, RT, SC, IF, DR, SW, SR, EW, EF, BC, FE FS"</formula1>
    </dataValidation>
    <dataValidation type="list" allowBlank="1" showInputMessage="1" showErrorMessage="1" sqref="C26" xr:uid="{38283DCC-E0D8-445B-8546-A55203CE7E49}">
      <formula1>"1, 2, 5, 7, 8"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SaveTickerNameMatch">
                <anchor moveWithCells="1" sizeWithCells="1">
                  <from>
                    <xdr:col>4</xdr:col>
                    <xdr:colOff>238125</xdr:colOff>
                    <xdr:row>4</xdr:row>
                    <xdr:rowOff>161925</xdr:rowOff>
                  </from>
                  <to>
                    <xdr:col>6</xdr:col>
                    <xdr:colOff>76200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heet1.SaveBaseEtfInfo">
                <anchor moveWithCells="1" sizeWithCells="1">
                  <from>
                    <xdr:col>4</xdr:col>
                    <xdr:colOff>238125</xdr:colOff>
                    <xdr:row>13</xdr:row>
                    <xdr:rowOff>161925</xdr:rowOff>
                  </from>
                  <to>
                    <xdr:col>6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SaveTradeHistory">
                <anchor moveWithCells="1" sizeWithCells="1">
                  <from>
                    <xdr:col>4</xdr:col>
                    <xdr:colOff>247650</xdr:colOff>
                    <xdr:row>20</xdr:row>
                    <xdr:rowOff>95250</xdr:rowOff>
                  </from>
                  <to>
                    <xdr:col>6</xdr:col>
                    <xdr:colOff>257175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E22F5-2207-4718-AA57-26A5C2EE1A93}">
  <sheetPr codeName="Sheet8"/>
  <dimension ref="B3:U1004"/>
  <sheetViews>
    <sheetView zoomScale="85" zoomScaleNormal="85" workbookViewId="0">
      <selection activeCell="J15" sqref="J15"/>
    </sheetView>
  </sheetViews>
  <sheetFormatPr defaultRowHeight="16.5"/>
  <cols>
    <col min="2" max="2" width="9" style="2"/>
    <col min="3" max="3" width="21.875" style="2" bestFit="1" customWidth="1"/>
    <col min="4" max="4" width="9" style="1"/>
    <col min="5" max="5" width="6.75" style="1" customWidth="1"/>
    <col min="6" max="6" width="5.625" style="1" customWidth="1"/>
    <col min="7" max="7" width="7.5" style="32" bestFit="1" customWidth="1"/>
    <col min="8" max="8" width="10.5" style="32" bestFit="1" customWidth="1"/>
    <col min="9" max="9" width="6" style="33" bestFit="1" customWidth="1"/>
    <col min="10" max="10" width="31.125" style="2" customWidth="1"/>
    <col min="11" max="11" width="6.75" style="2" customWidth="1"/>
    <col min="12" max="12" width="5.625" style="2" customWidth="1"/>
    <col min="13" max="14" width="10.25" style="2" bestFit="1" customWidth="1"/>
    <col min="15" max="15" width="9.375" style="2" bestFit="1" customWidth="1"/>
    <col min="16" max="16" width="11.25" style="2" bestFit="1" customWidth="1"/>
    <col min="17" max="17" width="6.75" style="2" bestFit="1" customWidth="1"/>
    <col min="18" max="18" width="11.25" style="2" bestFit="1" customWidth="1"/>
    <col min="19" max="19" width="14.25" style="2" bestFit="1" customWidth="1"/>
    <col min="20" max="20" width="13.5" style="2" bestFit="1" customWidth="1"/>
    <col min="21" max="21" width="9.625" style="2" bestFit="1" customWidth="1"/>
  </cols>
  <sheetData>
    <row r="3" spans="2:21">
      <c r="S3" s="34" t="s">
        <v>4138</v>
      </c>
      <c r="T3" s="2" t="s">
        <v>4139</v>
      </c>
      <c r="U3" s="2" t="s">
        <v>4139</v>
      </c>
    </row>
    <row r="4" spans="2:21">
      <c r="B4" s="2" t="s">
        <v>1705</v>
      </c>
      <c r="G4" s="30" t="s">
        <v>1704</v>
      </c>
      <c r="H4" s="30" t="s">
        <v>1707</v>
      </c>
      <c r="I4" s="31" t="s">
        <v>1708</v>
      </c>
      <c r="J4" s="11" t="s">
        <v>1709</v>
      </c>
      <c r="K4" s="11" t="s">
        <v>1700</v>
      </c>
      <c r="L4" s="11" t="s">
        <v>1710</v>
      </c>
      <c r="M4" s="11" t="s">
        <v>1711</v>
      </c>
      <c r="N4" s="11" t="s">
        <v>1712</v>
      </c>
      <c r="O4" s="11" t="s">
        <v>1713</v>
      </c>
      <c r="P4" s="11" t="s">
        <v>1714</v>
      </c>
      <c r="Q4" s="11" t="s">
        <v>1715</v>
      </c>
      <c r="R4" s="11" t="s">
        <v>1716</v>
      </c>
      <c r="S4" s="11" t="s">
        <v>1717</v>
      </c>
      <c r="T4" s="11" t="s">
        <v>1718</v>
      </c>
      <c r="U4" s="11" t="s">
        <v>1719</v>
      </c>
    </row>
    <row r="5" spans="2:21">
      <c r="B5" s="3" t="s">
        <v>1704</v>
      </c>
      <c r="C5" s="6">
        <v>45275</v>
      </c>
      <c r="G5" s="32">
        <v>20231215</v>
      </c>
      <c r="H5" s="32" t="s">
        <v>1720</v>
      </c>
      <c r="I5" s="33" t="s">
        <v>1721</v>
      </c>
      <c r="J5" s="2" t="s">
        <v>1722</v>
      </c>
      <c r="K5" s="2" t="s">
        <v>1723</v>
      </c>
      <c r="L5" s="2" t="s">
        <v>1724</v>
      </c>
      <c r="M5" s="29">
        <v>2450</v>
      </c>
      <c r="N5" s="29">
        <v>2450</v>
      </c>
      <c r="O5" s="29">
        <v>2395</v>
      </c>
      <c r="P5" s="29">
        <v>2435</v>
      </c>
      <c r="Q5" s="29">
        <v>-40</v>
      </c>
      <c r="R5" s="35">
        <v>-1.62</v>
      </c>
      <c r="S5" s="29">
        <v>112.91470099999999</v>
      </c>
      <c r="T5" s="29">
        <v>2730.0495249000001</v>
      </c>
      <c r="U5" s="29">
        <v>14590.52</v>
      </c>
    </row>
    <row r="6" spans="2:21">
      <c r="B6" s="3" t="s">
        <v>1700</v>
      </c>
      <c r="G6" s="32">
        <v>20231215</v>
      </c>
      <c r="H6" s="32" t="s">
        <v>1725</v>
      </c>
      <c r="I6" s="33" t="s">
        <v>1726</v>
      </c>
      <c r="J6" s="2" t="s">
        <v>1727</v>
      </c>
      <c r="K6" s="2" t="s">
        <v>1723</v>
      </c>
      <c r="L6" s="2" t="s">
        <v>1724</v>
      </c>
      <c r="M6" s="29">
        <v>3690</v>
      </c>
      <c r="N6" s="29">
        <v>3720</v>
      </c>
      <c r="O6" s="29">
        <v>3650</v>
      </c>
      <c r="P6" s="29">
        <v>3695</v>
      </c>
      <c r="Q6" s="29">
        <v>-10</v>
      </c>
      <c r="R6" s="35">
        <v>-0.27</v>
      </c>
      <c r="S6" s="29">
        <v>36.529454000000001</v>
      </c>
      <c r="T6" s="29">
        <v>1346.0865137999999</v>
      </c>
      <c r="U6" s="29">
        <v>4156.875</v>
      </c>
    </row>
    <row r="7" spans="2:21">
      <c r="B7" s="3" t="s">
        <v>1706</v>
      </c>
      <c r="C7" s="2" t="s">
        <v>1701</v>
      </c>
      <c r="G7" s="32">
        <v>20231215</v>
      </c>
      <c r="H7" s="32" t="s">
        <v>1728</v>
      </c>
      <c r="I7" s="33" t="s">
        <v>1729</v>
      </c>
      <c r="J7" s="2" t="s">
        <v>1730</v>
      </c>
      <c r="K7" s="2" t="s">
        <v>1723</v>
      </c>
      <c r="L7" s="2" t="s">
        <v>1724</v>
      </c>
      <c r="M7" s="29">
        <v>10685</v>
      </c>
      <c r="N7" s="29">
        <v>10845</v>
      </c>
      <c r="O7" s="29">
        <v>10480</v>
      </c>
      <c r="P7" s="29">
        <v>10615</v>
      </c>
      <c r="Q7" s="29">
        <v>85</v>
      </c>
      <c r="R7" s="35">
        <v>0.81</v>
      </c>
      <c r="S7" s="29">
        <v>25.730687</v>
      </c>
      <c r="T7" s="29">
        <v>2744.9500575000002</v>
      </c>
      <c r="U7" s="29">
        <v>10604.385</v>
      </c>
    </row>
    <row r="8" spans="2:21">
      <c r="B8" s="3" t="s">
        <v>1702</v>
      </c>
      <c r="C8" s="28" t="s">
        <v>1703</v>
      </c>
      <c r="G8" s="32">
        <v>20231215</v>
      </c>
      <c r="H8" s="32" t="s">
        <v>1731</v>
      </c>
      <c r="I8" s="33" t="s">
        <v>1732</v>
      </c>
      <c r="J8" s="2" t="s">
        <v>1733</v>
      </c>
      <c r="K8" s="2" t="s">
        <v>1723</v>
      </c>
      <c r="L8" s="2" t="s">
        <v>1724</v>
      </c>
      <c r="M8" s="29">
        <v>16880</v>
      </c>
      <c r="N8" s="29">
        <v>17210</v>
      </c>
      <c r="O8" s="29">
        <v>16855</v>
      </c>
      <c r="P8" s="29">
        <v>16955</v>
      </c>
      <c r="Q8" s="29">
        <v>260</v>
      </c>
      <c r="R8" s="35">
        <v>1.56</v>
      </c>
      <c r="S8" s="29">
        <v>16.074358</v>
      </c>
      <c r="T8" s="29">
        <v>2744.78045505</v>
      </c>
      <c r="U8" s="29">
        <v>20735.965</v>
      </c>
    </row>
    <row r="9" spans="2:21">
      <c r="G9" s="32">
        <v>20231215</v>
      </c>
      <c r="H9" s="32" t="s">
        <v>1734</v>
      </c>
      <c r="I9" s="33" t="s">
        <v>1735</v>
      </c>
      <c r="J9" s="2" t="s">
        <v>1736</v>
      </c>
      <c r="K9" s="2" t="s">
        <v>1723</v>
      </c>
      <c r="L9" s="2" t="s">
        <v>1724</v>
      </c>
      <c r="M9" s="29">
        <v>4500</v>
      </c>
      <c r="N9" s="29">
        <v>4500</v>
      </c>
      <c r="O9" s="29">
        <v>4445</v>
      </c>
      <c r="P9" s="29">
        <v>4490</v>
      </c>
      <c r="Q9" s="29">
        <v>-30</v>
      </c>
      <c r="R9" s="35">
        <v>-0.66</v>
      </c>
      <c r="S9" s="29">
        <v>12.810651999999999</v>
      </c>
      <c r="T9" s="29">
        <v>572.56712059999995</v>
      </c>
      <c r="U9" s="29">
        <v>5895.37</v>
      </c>
    </row>
    <row r="10" spans="2:21">
      <c r="G10" s="32">
        <v>20231215</v>
      </c>
      <c r="H10" s="32" t="s">
        <v>1737</v>
      </c>
      <c r="I10" s="33" t="s">
        <v>1738</v>
      </c>
      <c r="J10" s="2" t="s">
        <v>1739</v>
      </c>
      <c r="K10" s="2" t="s">
        <v>1723</v>
      </c>
      <c r="L10" s="2" t="s">
        <v>1724</v>
      </c>
      <c r="M10" s="29">
        <v>42975</v>
      </c>
      <c r="N10" s="29">
        <v>43205</v>
      </c>
      <c r="O10" s="29">
        <v>42730</v>
      </c>
      <c r="P10" s="29">
        <v>42885</v>
      </c>
      <c r="Q10" s="29">
        <v>275</v>
      </c>
      <c r="R10" s="35">
        <v>0.65</v>
      </c>
      <c r="S10" s="29">
        <v>10.672553000000001</v>
      </c>
      <c r="T10" s="29">
        <v>4598.7532447499998</v>
      </c>
      <c r="U10" s="29">
        <v>5703.7049999999999</v>
      </c>
    </row>
    <row r="11" spans="2:21">
      <c r="B11" s="2" t="s">
        <v>4137</v>
      </c>
      <c r="G11" s="32">
        <v>20231215</v>
      </c>
      <c r="H11" s="32" t="s">
        <v>1740</v>
      </c>
      <c r="I11" s="33" t="s">
        <v>1741</v>
      </c>
      <c r="J11" s="2" t="s">
        <v>1742</v>
      </c>
      <c r="K11" s="2" t="s">
        <v>1723</v>
      </c>
      <c r="L11" s="2" t="s">
        <v>1724</v>
      </c>
      <c r="M11" s="29">
        <v>13425</v>
      </c>
      <c r="N11" s="29">
        <v>13585</v>
      </c>
      <c r="O11" s="29">
        <v>13345</v>
      </c>
      <c r="P11" s="29">
        <v>13425</v>
      </c>
      <c r="Q11" s="29">
        <v>15</v>
      </c>
      <c r="R11" s="35">
        <v>0.11</v>
      </c>
      <c r="S11" s="29">
        <v>8.0067450000000004</v>
      </c>
      <c r="T11" s="29">
        <v>1022.70810525</v>
      </c>
      <c r="U11" s="29">
        <v>7578.4125000000004</v>
      </c>
    </row>
    <row r="12" spans="2:21">
      <c r="B12" s="3" t="s">
        <v>1</v>
      </c>
      <c r="C12" s="5">
        <v>32874</v>
      </c>
      <c r="G12" s="32">
        <v>20231215</v>
      </c>
      <c r="H12" s="32" t="s">
        <v>1743</v>
      </c>
      <c r="I12" s="33" t="s">
        <v>1744</v>
      </c>
      <c r="J12" s="2" t="s">
        <v>1745</v>
      </c>
      <c r="K12" s="2" t="s">
        <v>1723</v>
      </c>
      <c r="L12" s="2" t="s">
        <v>1724</v>
      </c>
      <c r="M12" s="29">
        <v>34280</v>
      </c>
      <c r="N12" s="29">
        <v>34680</v>
      </c>
      <c r="O12" s="29">
        <v>34280</v>
      </c>
      <c r="P12" s="29">
        <v>34365</v>
      </c>
      <c r="Q12" s="29">
        <v>195</v>
      </c>
      <c r="R12" s="35">
        <v>0.56999999999999995</v>
      </c>
      <c r="S12" s="29">
        <v>6.051323</v>
      </c>
      <c r="T12" s="29">
        <v>1320.9924142499999</v>
      </c>
      <c r="U12" s="29">
        <v>59949.7425</v>
      </c>
    </row>
    <row r="13" spans="2:21">
      <c r="B13" s="3" t="s">
        <v>2</v>
      </c>
      <c r="C13" s="6">
        <f ca="1">TODAY()</f>
        <v>45289</v>
      </c>
      <c r="G13" s="32">
        <v>20231215</v>
      </c>
      <c r="H13" s="32" t="s">
        <v>1746</v>
      </c>
      <c r="I13" s="33" t="s">
        <v>1747</v>
      </c>
      <c r="J13" s="2" t="s">
        <v>1748</v>
      </c>
      <c r="K13" s="2" t="s">
        <v>1723</v>
      </c>
      <c r="L13" s="2" t="s">
        <v>1724</v>
      </c>
      <c r="M13" s="29">
        <v>7525</v>
      </c>
      <c r="N13" s="29">
        <v>7610</v>
      </c>
      <c r="O13" s="29">
        <v>7460</v>
      </c>
      <c r="P13" s="29">
        <v>7460</v>
      </c>
      <c r="Q13" s="29">
        <v>-70</v>
      </c>
      <c r="R13" s="35">
        <v>-0.93</v>
      </c>
      <c r="S13" s="29">
        <v>5.2678370000000001</v>
      </c>
      <c r="T13" s="29">
        <v>396.51822874999999</v>
      </c>
      <c r="U13" s="29">
        <v>18891.704000000002</v>
      </c>
    </row>
    <row r="14" spans="2:21">
      <c r="B14" s="3" t="s">
        <v>1700</v>
      </c>
      <c r="G14" s="32">
        <v>20231215</v>
      </c>
      <c r="H14" s="32" t="s">
        <v>1749</v>
      </c>
      <c r="I14" s="33" t="s">
        <v>1750</v>
      </c>
      <c r="J14" s="2" t="s">
        <v>1751</v>
      </c>
      <c r="K14" s="2" t="s">
        <v>1723</v>
      </c>
      <c r="L14" s="2" t="s">
        <v>1724</v>
      </c>
      <c r="M14" s="29">
        <v>8665</v>
      </c>
      <c r="N14" s="29">
        <v>8900</v>
      </c>
      <c r="O14" s="29">
        <v>8660</v>
      </c>
      <c r="P14" s="29">
        <v>8785</v>
      </c>
      <c r="Q14" s="29">
        <v>250</v>
      </c>
      <c r="R14" s="35">
        <v>2.93</v>
      </c>
      <c r="S14" s="29">
        <v>4.015784</v>
      </c>
      <c r="T14" s="29">
        <v>353.80156260000001</v>
      </c>
      <c r="U14" s="29">
        <v>7884.5375000000004</v>
      </c>
    </row>
    <row r="15" spans="2:21">
      <c r="B15" s="3" t="s">
        <v>1706</v>
      </c>
      <c r="C15" s="2" t="s">
        <v>1701</v>
      </c>
      <c r="G15" s="32">
        <v>20231215</v>
      </c>
      <c r="H15" s="32" t="s">
        <v>1752</v>
      </c>
      <c r="I15" s="33" t="s">
        <v>1753</v>
      </c>
      <c r="J15" s="2" t="s">
        <v>1754</v>
      </c>
      <c r="K15" s="2" t="s">
        <v>1723</v>
      </c>
      <c r="L15" s="2" t="s">
        <v>1724</v>
      </c>
      <c r="M15" s="29">
        <v>5510</v>
      </c>
      <c r="N15" s="29">
        <v>5730</v>
      </c>
      <c r="O15" s="29">
        <v>5490</v>
      </c>
      <c r="P15" s="29">
        <v>5595</v>
      </c>
      <c r="Q15" s="29">
        <v>220</v>
      </c>
      <c r="R15" s="35">
        <v>4.09</v>
      </c>
      <c r="S15" s="29">
        <v>3.5117180000000001</v>
      </c>
      <c r="T15" s="29">
        <v>197.82300384999999</v>
      </c>
      <c r="U15" s="29">
        <v>1023.885</v>
      </c>
    </row>
    <row r="16" spans="2:21">
      <c r="B16" s="3" t="s">
        <v>1702</v>
      </c>
      <c r="C16" s="28" t="s">
        <v>1703</v>
      </c>
      <c r="G16" s="32">
        <v>20231215</v>
      </c>
      <c r="H16" s="32" t="s">
        <v>1755</v>
      </c>
      <c r="I16" s="33" t="s">
        <v>1756</v>
      </c>
      <c r="J16" s="2" t="s">
        <v>1757</v>
      </c>
      <c r="K16" s="2" t="s">
        <v>1723</v>
      </c>
      <c r="L16" s="2" t="s">
        <v>1724</v>
      </c>
      <c r="M16" s="29">
        <v>13820</v>
      </c>
      <c r="N16" s="29">
        <v>14240</v>
      </c>
      <c r="O16" s="29">
        <v>13820</v>
      </c>
      <c r="P16" s="29">
        <v>14125</v>
      </c>
      <c r="Q16" s="29">
        <v>305</v>
      </c>
      <c r="R16" s="35">
        <v>2.21</v>
      </c>
      <c r="S16" s="29">
        <v>3.3417300000000001</v>
      </c>
      <c r="T16" s="29">
        <v>471.89604409999998</v>
      </c>
      <c r="U16" s="29">
        <v>562.17499999999995</v>
      </c>
    </row>
    <row r="17" spans="7:21">
      <c r="G17" s="32">
        <v>20231215</v>
      </c>
      <c r="H17" s="32" t="s">
        <v>1758</v>
      </c>
      <c r="I17" s="33" t="s">
        <v>1759</v>
      </c>
      <c r="J17" s="2" t="s">
        <v>1760</v>
      </c>
      <c r="K17" s="2" t="s">
        <v>1723</v>
      </c>
      <c r="L17" s="2" t="s">
        <v>1724</v>
      </c>
      <c r="M17" s="29">
        <v>23370</v>
      </c>
      <c r="N17" s="29">
        <v>23825</v>
      </c>
      <c r="O17" s="29">
        <v>23370</v>
      </c>
      <c r="P17" s="29">
        <v>23490</v>
      </c>
      <c r="Q17" s="29">
        <v>410</v>
      </c>
      <c r="R17" s="35">
        <v>1.78</v>
      </c>
      <c r="S17" s="29">
        <v>2.342835</v>
      </c>
      <c r="T17" s="29">
        <v>553.76500099999998</v>
      </c>
      <c r="U17" s="29">
        <v>11416.14</v>
      </c>
    </row>
    <row r="18" spans="7:21">
      <c r="G18" s="32">
        <v>20231215</v>
      </c>
      <c r="H18" s="32" t="s">
        <v>1761</v>
      </c>
      <c r="I18" s="33" t="s">
        <v>1762</v>
      </c>
      <c r="J18" s="2" t="s">
        <v>1763</v>
      </c>
      <c r="K18" s="2" t="s">
        <v>1723</v>
      </c>
      <c r="L18" s="2" t="s">
        <v>1724</v>
      </c>
      <c r="M18" s="29">
        <v>21900</v>
      </c>
      <c r="N18" s="29">
        <v>21920</v>
      </c>
      <c r="O18" s="29">
        <v>21390</v>
      </c>
      <c r="P18" s="29">
        <v>21700</v>
      </c>
      <c r="Q18" s="29">
        <v>-375</v>
      </c>
      <c r="R18" s="35">
        <v>-1.7</v>
      </c>
      <c r="S18" s="29">
        <v>2.0719669999999999</v>
      </c>
      <c r="T18" s="29">
        <v>447.01562675000002</v>
      </c>
      <c r="U18" s="29">
        <v>1361.675</v>
      </c>
    </row>
    <row r="19" spans="7:21">
      <c r="G19" s="32">
        <v>20231215</v>
      </c>
      <c r="H19" s="32" t="s">
        <v>1764</v>
      </c>
      <c r="I19" s="33" t="s">
        <v>1765</v>
      </c>
      <c r="J19" s="2" t="s">
        <v>1766</v>
      </c>
      <c r="K19" s="2" t="s">
        <v>1723</v>
      </c>
      <c r="L19" s="2" t="s">
        <v>1724</v>
      </c>
      <c r="M19" s="29">
        <v>2565</v>
      </c>
      <c r="N19" s="29">
        <v>2590</v>
      </c>
      <c r="O19" s="29">
        <v>2535</v>
      </c>
      <c r="P19" s="29">
        <v>2575</v>
      </c>
      <c r="Q19" s="29">
        <v>-45</v>
      </c>
      <c r="R19" s="35">
        <v>-1.72</v>
      </c>
      <c r="S19" s="29">
        <v>2.033455</v>
      </c>
      <c r="T19" s="29">
        <v>51.995968449999999</v>
      </c>
      <c r="U19" s="29">
        <v>872.92499999999995</v>
      </c>
    </row>
    <row r="20" spans="7:21">
      <c r="G20" s="32">
        <v>20231215</v>
      </c>
      <c r="H20" s="32" t="s">
        <v>1767</v>
      </c>
      <c r="I20" s="33" t="s">
        <v>1768</v>
      </c>
      <c r="J20" s="2" t="s">
        <v>1769</v>
      </c>
      <c r="K20" s="2" t="s">
        <v>1723</v>
      </c>
      <c r="L20" s="2" t="s">
        <v>1724</v>
      </c>
      <c r="M20" s="29">
        <v>9180</v>
      </c>
      <c r="N20" s="29">
        <v>9185</v>
      </c>
      <c r="O20" s="29">
        <v>9125</v>
      </c>
      <c r="P20" s="29">
        <v>9155</v>
      </c>
      <c r="Q20" s="29">
        <v>120</v>
      </c>
      <c r="R20" s="35">
        <v>1.33</v>
      </c>
      <c r="S20" s="29">
        <v>1.9198139999999999</v>
      </c>
      <c r="T20" s="29">
        <v>175.66051304999999</v>
      </c>
      <c r="U20" s="29">
        <v>5959.9049999999997</v>
      </c>
    </row>
    <row r="21" spans="7:21">
      <c r="G21" s="32">
        <v>20231215</v>
      </c>
      <c r="H21" s="32" t="s">
        <v>1770</v>
      </c>
      <c r="I21" s="33" t="s">
        <v>1771</v>
      </c>
      <c r="J21" s="2" t="s">
        <v>1772</v>
      </c>
      <c r="K21" s="2" t="s">
        <v>1723</v>
      </c>
      <c r="L21" s="2" t="s">
        <v>1724</v>
      </c>
      <c r="M21" s="29">
        <v>10435</v>
      </c>
      <c r="N21" s="29">
        <v>10480</v>
      </c>
      <c r="O21" s="29">
        <v>10290</v>
      </c>
      <c r="P21" s="29">
        <v>10365</v>
      </c>
      <c r="Q21" s="29">
        <v>5</v>
      </c>
      <c r="R21" s="35">
        <v>0.05</v>
      </c>
      <c r="S21" s="29">
        <v>1.9144460000000001</v>
      </c>
      <c r="T21" s="29">
        <v>198.60717195000001</v>
      </c>
      <c r="U21" s="29">
        <v>5648.9250000000002</v>
      </c>
    </row>
    <row r="22" spans="7:21">
      <c r="G22" s="32">
        <v>20231215</v>
      </c>
      <c r="H22" s="32" t="s">
        <v>1773</v>
      </c>
      <c r="I22" s="33" t="s">
        <v>1774</v>
      </c>
      <c r="J22" s="2" t="s">
        <v>1775</v>
      </c>
      <c r="K22" s="2" t="s">
        <v>1723</v>
      </c>
      <c r="L22" s="2" t="s">
        <v>1724</v>
      </c>
      <c r="M22" s="29">
        <v>13630</v>
      </c>
      <c r="N22" s="29">
        <v>13690</v>
      </c>
      <c r="O22" s="29">
        <v>13230</v>
      </c>
      <c r="P22" s="29">
        <v>13310</v>
      </c>
      <c r="Q22" s="29">
        <v>-275</v>
      </c>
      <c r="R22" s="35">
        <v>-2.02</v>
      </c>
      <c r="S22" s="29">
        <v>1.721509</v>
      </c>
      <c r="T22" s="29">
        <v>230.59081430000001</v>
      </c>
      <c r="U22" s="29">
        <v>2668.6550000000002</v>
      </c>
    </row>
    <row r="23" spans="7:21">
      <c r="G23" s="32">
        <v>20231215</v>
      </c>
      <c r="H23" s="32" t="s">
        <v>1776</v>
      </c>
      <c r="I23" s="33" t="s">
        <v>1777</v>
      </c>
      <c r="J23" s="2" t="s">
        <v>1778</v>
      </c>
      <c r="K23" s="2" t="s">
        <v>1723</v>
      </c>
      <c r="L23" s="2" t="s">
        <v>1724</v>
      </c>
      <c r="M23" s="29">
        <v>5370</v>
      </c>
      <c r="N23" s="29">
        <v>5490</v>
      </c>
      <c r="O23" s="29">
        <v>5370</v>
      </c>
      <c r="P23" s="29">
        <v>5400</v>
      </c>
      <c r="Q23" s="29">
        <v>100</v>
      </c>
      <c r="R23" s="35">
        <v>1.89</v>
      </c>
      <c r="S23" s="29">
        <v>1.5910070000000001</v>
      </c>
      <c r="T23" s="29">
        <v>86.4961938</v>
      </c>
      <c r="U23" s="29">
        <v>5470.2</v>
      </c>
    </row>
    <row r="24" spans="7:21">
      <c r="G24" s="32">
        <v>20231215</v>
      </c>
      <c r="H24" s="32" t="s">
        <v>1779</v>
      </c>
      <c r="I24" s="33" t="s">
        <v>1780</v>
      </c>
      <c r="J24" s="2" t="s">
        <v>1781</v>
      </c>
      <c r="K24" s="2" t="s">
        <v>1723</v>
      </c>
      <c r="L24" s="2" t="s">
        <v>1724</v>
      </c>
      <c r="M24" s="29">
        <v>1381</v>
      </c>
      <c r="N24" s="29">
        <v>1450</v>
      </c>
      <c r="O24" s="29">
        <v>1381</v>
      </c>
      <c r="P24" s="29">
        <v>1412</v>
      </c>
      <c r="Q24" s="29">
        <v>55</v>
      </c>
      <c r="R24" s="35">
        <v>4.05</v>
      </c>
      <c r="S24" s="29">
        <v>1.3664559999999999</v>
      </c>
      <c r="T24" s="29">
        <v>19.406742439999999</v>
      </c>
      <c r="U24" s="29">
        <v>576.096</v>
      </c>
    </row>
    <row r="25" spans="7:21">
      <c r="G25" s="32">
        <v>20231215</v>
      </c>
      <c r="H25" s="32" t="s">
        <v>1782</v>
      </c>
      <c r="I25" s="33" t="s">
        <v>1783</v>
      </c>
      <c r="J25" s="2" t="s">
        <v>1784</v>
      </c>
      <c r="K25" s="2" t="s">
        <v>1723</v>
      </c>
      <c r="L25" s="2" t="s">
        <v>1724</v>
      </c>
      <c r="M25" s="29">
        <v>3745</v>
      </c>
      <c r="N25" s="29">
        <v>3790</v>
      </c>
      <c r="O25" s="29">
        <v>3725</v>
      </c>
      <c r="P25" s="29">
        <v>3765</v>
      </c>
      <c r="Q25" s="29">
        <v>-10</v>
      </c>
      <c r="R25" s="35">
        <v>-0.26</v>
      </c>
      <c r="S25" s="29">
        <v>1.26014</v>
      </c>
      <c r="T25" s="29">
        <v>47.404800049999999</v>
      </c>
      <c r="U25" s="29">
        <v>197.66249999999999</v>
      </c>
    </row>
    <row r="26" spans="7:21">
      <c r="G26" s="32">
        <v>20231215</v>
      </c>
      <c r="H26" s="32" t="s">
        <v>1785</v>
      </c>
      <c r="I26" s="33" t="s">
        <v>1786</v>
      </c>
      <c r="J26" s="2" t="s">
        <v>1787</v>
      </c>
      <c r="K26" s="2" t="s">
        <v>1723</v>
      </c>
      <c r="L26" s="2" t="s">
        <v>1724</v>
      </c>
      <c r="M26" s="29">
        <v>11200</v>
      </c>
      <c r="N26" s="29">
        <v>11315</v>
      </c>
      <c r="O26" s="29">
        <v>11175</v>
      </c>
      <c r="P26" s="29">
        <v>11265</v>
      </c>
      <c r="Q26" s="29">
        <v>180</v>
      </c>
      <c r="R26" s="35">
        <v>1.62</v>
      </c>
      <c r="S26" s="29">
        <v>1.160042</v>
      </c>
      <c r="T26" s="29">
        <v>125.8327448</v>
      </c>
      <c r="U26" s="29">
        <v>1356.306</v>
      </c>
    </row>
    <row r="27" spans="7:21">
      <c r="G27" s="32">
        <v>20231215</v>
      </c>
      <c r="H27" s="32" t="s">
        <v>1788</v>
      </c>
      <c r="I27" s="33" t="s">
        <v>1789</v>
      </c>
      <c r="J27" s="2" t="s">
        <v>1790</v>
      </c>
      <c r="K27" s="2" t="s">
        <v>1723</v>
      </c>
      <c r="L27" s="2" t="s">
        <v>1724</v>
      </c>
      <c r="M27" s="29">
        <v>14090</v>
      </c>
      <c r="N27" s="29">
        <v>14120</v>
      </c>
      <c r="O27" s="29">
        <v>14050</v>
      </c>
      <c r="P27" s="29">
        <v>14110</v>
      </c>
      <c r="Q27" s="29">
        <v>230</v>
      </c>
      <c r="R27" s="35">
        <v>1.66</v>
      </c>
      <c r="S27" s="29">
        <v>1.091618</v>
      </c>
      <c r="T27" s="29">
        <v>153.88986249999999</v>
      </c>
      <c r="U27" s="29">
        <v>16325.27</v>
      </c>
    </row>
    <row r="28" spans="7:21">
      <c r="G28" s="32">
        <v>20231215</v>
      </c>
      <c r="H28" s="32" t="s">
        <v>1791</v>
      </c>
      <c r="I28" s="33" t="s">
        <v>1792</v>
      </c>
      <c r="J28" s="2" t="s">
        <v>1793</v>
      </c>
      <c r="K28" s="2" t="s">
        <v>1723</v>
      </c>
      <c r="L28" s="2" t="s">
        <v>1724</v>
      </c>
      <c r="M28" s="29">
        <v>27135</v>
      </c>
      <c r="N28" s="29">
        <v>27570</v>
      </c>
      <c r="O28" s="29">
        <v>27125</v>
      </c>
      <c r="P28" s="29">
        <v>27205</v>
      </c>
      <c r="Q28" s="29">
        <v>505</v>
      </c>
      <c r="R28" s="35">
        <v>1.89</v>
      </c>
      <c r="S28" s="29">
        <v>1.0845070000000001</v>
      </c>
      <c r="T28" s="29">
        <v>286.8412472</v>
      </c>
      <c r="U28" s="29">
        <v>13112.81</v>
      </c>
    </row>
    <row r="29" spans="7:21">
      <c r="G29" s="32">
        <v>20231215</v>
      </c>
      <c r="H29" s="32" t="s">
        <v>1794</v>
      </c>
      <c r="I29" s="33" t="s">
        <v>1795</v>
      </c>
      <c r="J29" s="2" t="s">
        <v>1796</v>
      </c>
      <c r="K29" s="2" t="s">
        <v>1723</v>
      </c>
      <c r="L29" s="2" t="s">
        <v>1724</v>
      </c>
      <c r="M29" s="29">
        <v>10070</v>
      </c>
      <c r="N29" s="29">
        <v>10075</v>
      </c>
      <c r="O29" s="29">
        <v>9755</v>
      </c>
      <c r="P29" s="29">
        <v>9780</v>
      </c>
      <c r="Q29" s="29">
        <v>-225</v>
      </c>
      <c r="R29" s="35">
        <v>-2.25</v>
      </c>
      <c r="S29" s="29">
        <v>1.019695</v>
      </c>
      <c r="T29" s="29">
        <v>100.60587295000001</v>
      </c>
      <c r="U29" s="29">
        <v>885.09</v>
      </c>
    </row>
    <row r="30" spans="7:21">
      <c r="G30" s="32">
        <v>20231215</v>
      </c>
      <c r="H30" s="32" t="s">
        <v>1797</v>
      </c>
      <c r="I30" s="33" t="s">
        <v>1798</v>
      </c>
      <c r="J30" s="2" t="s">
        <v>1799</v>
      </c>
      <c r="K30" s="2" t="s">
        <v>1723</v>
      </c>
      <c r="L30" s="2" t="s">
        <v>1724</v>
      </c>
      <c r="M30" s="29">
        <v>9255</v>
      </c>
      <c r="N30" s="29">
        <v>9455</v>
      </c>
      <c r="O30" s="29">
        <v>9215</v>
      </c>
      <c r="P30" s="29">
        <v>9365</v>
      </c>
      <c r="Q30" s="29">
        <v>285</v>
      </c>
      <c r="R30" s="35">
        <v>3.14</v>
      </c>
      <c r="S30" s="29">
        <v>1.0119359999999999</v>
      </c>
      <c r="T30" s="29">
        <v>94.914474400000003</v>
      </c>
      <c r="U30" s="29">
        <v>1484.3525</v>
      </c>
    </row>
    <row r="31" spans="7:21">
      <c r="G31" s="32">
        <v>20231215</v>
      </c>
      <c r="H31" s="32" t="s">
        <v>1800</v>
      </c>
      <c r="I31" s="33" t="s">
        <v>1801</v>
      </c>
      <c r="J31" s="2" t="s">
        <v>1802</v>
      </c>
      <c r="K31" s="2" t="s">
        <v>1723</v>
      </c>
      <c r="L31" s="2" t="s">
        <v>1724</v>
      </c>
      <c r="M31" s="29">
        <v>10205</v>
      </c>
      <c r="N31" s="29">
        <v>10205</v>
      </c>
      <c r="O31" s="29">
        <v>9970</v>
      </c>
      <c r="P31" s="29">
        <v>9995</v>
      </c>
      <c r="Q31" s="29">
        <v>-85</v>
      </c>
      <c r="R31" s="35">
        <v>-0.84</v>
      </c>
      <c r="S31" s="29">
        <v>1.0054419999999999</v>
      </c>
      <c r="T31" s="29">
        <v>100.59941379999999</v>
      </c>
      <c r="U31" s="29">
        <v>169.91499999999999</v>
      </c>
    </row>
    <row r="32" spans="7:21">
      <c r="G32" s="32">
        <v>20231215</v>
      </c>
      <c r="H32" s="32" t="s">
        <v>1803</v>
      </c>
      <c r="I32" s="33" t="s">
        <v>1804</v>
      </c>
      <c r="J32" s="2" t="s">
        <v>1805</v>
      </c>
      <c r="K32" s="2" t="s">
        <v>1723</v>
      </c>
      <c r="L32" s="2" t="s">
        <v>1724</v>
      </c>
      <c r="M32" s="29">
        <v>34355</v>
      </c>
      <c r="N32" s="29">
        <v>34715</v>
      </c>
      <c r="O32" s="29">
        <v>34350</v>
      </c>
      <c r="P32" s="29">
        <v>34420</v>
      </c>
      <c r="Q32" s="29">
        <v>420</v>
      </c>
      <c r="R32" s="35">
        <v>1.24</v>
      </c>
      <c r="S32" s="29">
        <v>0.98622200000000004</v>
      </c>
      <c r="T32" s="29">
        <v>341.07131040000002</v>
      </c>
      <c r="U32" s="29">
        <v>21047.83</v>
      </c>
    </row>
    <row r="33" spans="7:21">
      <c r="G33" s="32">
        <v>20231215</v>
      </c>
      <c r="H33" s="32" t="s">
        <v>1806</v>
      </c>
      <c r="I33" s="33" t="s">
        <v>1807</v>
      </c>
      <c r="J33" s="2" t="s">
        <v>1808</v>
      </c>
      <c r="K33" s="2" t="s">
        <v>1723</v>
      </c>
      <c r="L33" s="2" t="s">
        <v>1724</v>
      </c>
      <c r="M33" s="29">
        <v>13805</v>
      </c>
      <c r="N33" s="29">
        <v>14000</v>
      </c>
      <c r="O33" s="29">
        <v>13775</v>
      </c>
      <c r="P33" s="29">
        <v>13845</v>
      </c>
      <c r="Q33" s="29">
        <v>40</v>
      </c>
      <c r="R33" s="35">
        <v>0.28999999999999998</v>
      </c>
      <c r="S33" s="29">
        <v>0.93022899999999997</v>
      </c>
      <c r="T33" s="29">
        <v>128.65269685000001</v>
      </c>
      <c r="U33" s="29">
        <v>1367.886</v>
      </c>
    </row>
    <row r="34" spans="7:21">
      <c r="G34" s="32">
        <v>20231215</v>
      </c>
      <c r="H34" s="32" t="s">
        <v>1809</v>
      </c>
      <c r="I34" s="33" t="s">
        <v>1810</v>
      </c>
      <c r="J34" s="2" t="s">
        <v>1811</v>
      </c>
      <c r="K34" s="2" t="s">
        <v>1723</v>
      </c>
      <c r="L34" s="2" t="s">
        <v>1724</v>
      </c>
      <c r="M34" s="29">
        <v>4385</v>
      </c>
      <c r="N34" s="29">
        <v>4425</v>
      </c>
      <c r="O34" s="29">
        <v>4360</v>
      </c>
      <c r="P34" s="29">
        <v>4360</v>
      </c>
      <c r="Q34" s="29">
        <v>-25</v>
      </c>
      <c r="R34" s="35">
        <v>-0.56999999999999995</v>
      </c>
      <c r="S34" s="29">
        <v>0.92377699999999996</v>
      </c>
      <c r="T34" s="29">
        <v>40.602792450000003</v>
      </c>
      <c r="U34" s="29">
        <v>3191.52</v>
      </c>
    </row>
    <row r="35" spans="7:21">
      <c r="G35" s="32">
        <v>20231215</v>
      </c>
      <c r="H35" s="32" t="s">
        <v>1812</v>
      </c>
      <c r="I35" s="33" t="s">
        <v>1813</v>
      </c>
      <c r="J35" s="2" t="s">
        <v>1814</v>
      </c>
      <c r="K35" s="2" t="s">
        <v>1723</v>
      </c>
      <c r="L35" s="2" t="s">
        <v>1724</v>
      </c>
      <c r="M35" s="29">
        <v>14575</v>
      </c>
      <c r="N35" s="29">
        <v>14625</v>
      </c>
      <c r="O35" s="29">
        <v>14540</v>
      </c>
      <c r="P35" s="29">
        <v>14625</v>
      </c>
      <c r="Q35" s="29">
        <v>-145</v>
      </c>
      <c r="R35" s="35">
        <v>-0.98</v>
      </c>
      <c r="S35" s="29">
        <v>0.88500699999999999</v>
      </c>
      <c r="T35" s="29">
        <v>129.20544555000001</v>
      </c>
      <c r="U35" s="29">
        <v>16372.6875</v>
      </c>
    </row>
    <row r="36" spans="7:21">
      <c r="G36" s="32">
        <v>20231215</v>
      </c>
      <c r="H36" s="32" t="s">
        <v>1815</v>
      </c>
      <c r="I36" s="33" t="s">
        <v>1816</v>
      </c>
      <c r="J36" s="2" t="s">
        <v>1817</v>
      </c>
      <c r="K36" s="2" t="s">
        <v>1723</v>
      </c>
      <c r="L36" s="2" t="s">
        <v>1724</v>
      </c>
      <c r="M36" s="29">
        <v>14945</v>
      </c>
      <c r="N36" s="29">
        <v>15055</v>
      </c>
      <c r="O36" s="29">
        <v>14825</v>
      </c>
      <c r="P36" s="29">
        <v>15055</v>
      </c>
      <c r="Q36" s="29">
        <v>205</v>
      </c>
      <c r="R36" s="35">
        <v>1.38</v>
      </c>
      <c r="S36" s="29">
        <v>0.78753099999999998</v>
      </c>
      <c r="T36" s="29">
        <v>117.84783950000001</v>
      </c>
      <c r="U36" s="29">
        <v>1038.7950000000001</v>
      </c>
    </row>
    <row r="37" spans="7:21">
      <c r="G37" s="32">
        <v>20231215</v>
      </c>
      <c r="H37" s="32" t="s">
        <v>1818</v>
      </c>
      <c r="I37" s="33" t="s">
        <v>1819</v>
      </c>
      <c r="J37" s="2" t="s">
        <v>1820</v>
      </c>
      <c r="K37" s="2" t="s">
        <v>1723</v>
      </c>
      <c r="L37" s="2" t="s">
        <v>1724</v>
      </c>
      <c r="M37" s="29">
        <v>15270</v>
      </c>
      <c r="N37" s="29">
        <v>15505</v>
      </c>
      <c r="O37" s="29">
        <v>15200</v>
      </c>
      <c r="P37" s="29">
        <v>15200</v>
      </c>
      <c r="Q37" s="29">
        <v>135</v>
      </c>
      <c r="R37" s="35">
        <v>0.9</v>
      </c>
      <c r="S37" s="29">
        <v>0.77518799999999999</v>
      </c>
      <c r="T37" s="29">
        <v>111.6922306</v>
      </c>
      <c r="U37" s="29">
        <v>3002</v>
      </c>
    </row>
    <row r="38" spans="7:21">
      <c r="G38" s="32">
        <v>20231215</v>
      </c>
      <c r="H38" s="32" t="s">
        <v>1821</v>
      </c>
      <c r="I38" s="33" t="s">
        <v>1822</v>
      </c>
      <c r="J38" s="2" t="s">
        <v>1823</v>
      </c>
      <c r="K38" s="2" t="s">
        <v>1723</v>
      </c>
      <c r="L38" s="2" t="s">
        <v>1724</v>
      </c>
      <c r="M38" s="29">
        <v>15265</v>
      </c>
      <c r="N38" s="29">
        <v>15330</v>
      </c>
      <c r="O38" s="29">
        <v>15260</v>
      </c>
      <c r="P38" s="29">
        <v>15330</v>
      </c>
      <c r="Q38" s="29">
        <v>5</v>
      </c>
      <c r="R38" s="35">
        <v>0.03</v>
      </c>
      <c r="S38" s="29">
        <v>0.73221700000000001</v>
      </c>
      <c r="T38" s="29">
        <v>107.84228589999999</v>
      </c>
      <c r="U38" s="29">
        <v>21362.355</v>
      </c>
    </row>
    <row r="39" spans="7:21">
      <c r="G39" s="32">
        <v>20231215</v>
      </c>
      <c r="H39" s="32" t="s">
        <v>1824</v>
      </c>
      <c r="I39" s="33" t="s">
        <v>1825</v>
      </c>
      <c r="J39" s="2" t="s">
        <v>1826</v>
      </c>
      <c r="K39" s="2" t="s">
        <v>1723</v>
      </c>
      <c r="L39" s="2" t="s">
        <v>1724</v>
      </c>
      <c r="M39" s="29">
        <v>9845</v>
      </c>
      <c r="N39" s="29">
        <v>9970</v>
      </c>
      <c r="O39" s="29">
        <v>9845</v>
      </c>
      <c r="P39" s="29">
        <v>9970</v>
      </c>
      <c r="Q39" s="29">
        <v>160</v>
      </c>
      <c r="R39" s="35">
        <v>1.63</v>
      </c>
      <c r="S39" s="29">
        <v>0.727966</v>
      </c>
      <c r="T39" s="29">
        <v>72.368796599999996</v>
      </c>
      <c r="U39" s="29">
        <v>2512.44</v>
      </c>
    </row>
    <row r="40" spans="7:21">
      <c r="G40" s="32">
        <v>20231215</v>
      </c>
      <c r="H40" s="32" t="s">
        <v>1827</v>
      </c>
      <c r="I40" s="33" t="s">
        <v>1828</v>
      </c>
      <c r="J40" s="2" t="s">
        <v>1829</v>
      </c>
      <c r="K40" s="2" t="s">
        <v>1723</v>
      </c>
      <c r="L40" s="2" t="s">
        <v>1724</v>
      </c>
      <c r="M40" s="29">
        <v>8400</v>
      </c>
      <c r="N40" s="29">
        <v>8525</v>
      </c>
      <c r="O40" s="29">
        <v>8350</v>
      </c>
      <c r="P40" s="29">
        <v>8400</v>
      </c>
      <c r="Q40" s="29">
        <v>160</v>
      </c>
      <c r="R40" s="35">
        <v>1.94</v>
      </c>
      <c r="S40" s="29">
        <v>0.71740999999999999</v>
      </c>
      <c r="T40" s="29">
        <v>60.614025150000003</v>
      </c>
      <c r="U40" s="29">
        <v>2209.1999999999998</v>
      </c>
    </row>
    <row r="41" spans="7:21">
      <c r="G41" s="32">
        <v>20231215</v>
      </c>
      <c r="H41" s="32" t="s">
        <v>1830</v>
      </c>
      <c r="I41" s="33" t="s">
        <v>1831</v>
      </c>
      <c r="J41" s="2" t="s">
        <v>1832</v>
      </c>
      <c r="K41" s="2" t="s">
        <v>1723</v>
      </c>
      <c r="L41" s="2" t="s">
        <v>1724</v>
      </c>
      <c r="M41" s="29">
        <v>10490</v>
      </c>
      <c r="N41" s="29">
        <v>10490</v>
      </c>
      <c r="O41" s="29">
        <v>10130</v>
      </c>
      <c r="P41" s="29">
        <v>10190</v>
      </c>
      <c r="Q41" s="29">
        <v>-205</v>
      </c>
      <c r="R41" s="35">
        <v>-1.97</v>
      </c>
      <c r="S41" s="29">
        <v>0.66378199999999998</v>
      </c>
      <c r="T41" s="29">
        <v>68.336045549999994</v>
      </c>
      <c r="U41" s="29">
        <v>728.58500000000004</v>
      </c>
    </row>
    <row r="42" spans="7:21">
      <c r="G42" s="32">
        <v>20231215</v>
      </c>
      <c r="H42" s="32" t="s">
        <v>1833</v>
      </c>
      <c r="I42" s="33" t="s">
        <v>1834</v>
      </c>
      <c r="J42" s="2" t="s">
        <v>1835</v>
      </c>
      <c r="K42" s="2" t="s">
        <v>1723</v>
      </c>
      <c r="L42" s="2" t="s">
        <v>1724</v>
      </c>
      <c r="M42" s="29">
        <v>7660</v>
      </c>
      <c r="N42" s="29">
        <v>7670</v>
      </c>
      <c r="O42" s="29">
        <v>7540</v>
      </c>
      <c r="P42" s="29">
        <v>7585</v>
      </c>
      <c r="Q42" s="29">
        <v>130</v>
      </c>
      <c r="R42" s="35">
        <v>1.74</v>
      </c>
      <c r="S42" s="29">
        <v>0.64671900000000004</v>
      </c>
      <c r="T42" s="29">
        <v>49.089994449999999</v>
      </c>
      <c r="U42" s="29">
        <v>565.08249999999998</v>
      </c>
    </row>
    <row r="43" spans="7:21">
      <c r="G43" s="32">
        <v>20231215</v>
      </c>
      <c r="H43" s="32" t="s">
        <v>1836</v>
      </c>
      <c r="I43" s="33" t="s">
        <v>1837</v>
      </c>
      <c r="J43" s="2" t="s">
        <v>1838</v>
      </c>
      <c r="K43" s="2" t="s">
        <v>1723</v>
      </c>
      <c r="L43" s="2" t="s">
        <v>1724</v>
      </c>
      <c r="M43" s="29">
        <v>10215</v>
      </c>
      <c r="N43" s="29">
        <v>10255</v>
      </c>
      <c r="O43" s="29">
        <v>10165</v>
      </c>
      <c r="P43" s="29">
        <v>10250</v>
      </c>
      <c r="Q43" s="29">
        <v>35</v>
      </c>
      <c r="R43" s="35">
        <v>0.34</v>
      </c>
      <c r="S43" s="29">
        <v>0.63504499999999997</v>
      </c>
      <c r="T43" s="29">
        <v>62.941773400000002</v>
      </c>
      <c r="U43" s="29">
        <v>989.125</v>
      </c>
    </row>
    <row r="44" spans="7:21">
      <c r="G44" s="32">
        <v>20231215</v>
      </c>
      <c r="H44" s="32" t="s">
        <v>1839</v>
      </c>
      <c r="I44" s="33" t="s">
        <v>1840</v>
      </c>
      <c r="J44" s="2" t="s">
        <v>1841</v>
      </c>
      <c r="K44" s="2" t="s">
        <v>1723</v>
      </c>
      <c r="L44" s="2" t="s">
        <v>1724</v>
      </c>
      <c r="M44" s="29">
        <v>6815</v>
      </c>
      <c r="N44" s="29">
        <v>6820</v>
      </c>
      <c r="O44" s="29">
        <v>6760</v>
      </c>
      <c r="P44" s="29">
        <v>6775</v>
      </c>
      <c r="Q44" s="29">
        <v>5</v>
      </c>
      <c r="R44" s="35">
        <v>7.0000000000000007E-2</v>
      </c>
      <c r="S44" s="29">
        <v>0.56582200000000005</v>
      </c>
      <c r="T44" s="29">
        <v>38.409539199999998</v>
      </c>
      <c r="U44" s="29">
        <v>749.31500000000005</v>
      </c>
    </row>
    <row r="45" spans="7:21">
      <c r="G45" s="32">
        <v>20231215</v>
      </c>
      <c r="H45" s="32" t="s">
        <v>1842</v>
      </c>
      <c r="I45" s="33" t="s">
        <v>1843</v>
      </c>
      <c r="J45" s="2" t="s">
        <v>1844</v>
      </c>
      <c r="K45" s="2" t="s">
        <v>1723</v>
      </c>
      <c r="L45" s="2" t="s">
        <v>1724</v>
      </c>
      <c r="M45" s="29">
        <v>9870</v>
      </c>
      <c r="N45" s="29">
        <v>9915</v>
      </c>
      <c r="O45" s="29">
        <v>9870</v>
      </c>
      <c r="P45" s="29">
        <v>9915</v>
      </c>
      <c r="Q45" s="29">
        <v>20</v>
      </c>
      <c r="R45" s="35">
        <v>0.2</v>
      </c>
      <c r="S45" s="29">
        <v>0.56410700000000003</v>
      </c>
      <c r="T45" s="29">
        <v>55.782765900000001</v>
      </c>
      <c r="U45" s="29">
        <v>391.64249999999998</v>
      </c>
    </row>
    <row r="46" spans="7:21">
      <c r="G46" s="32">
        <v>20231215</v>
      </c>
      <c r="H46" s="32" t="s">
        <v>1845</v>
      </c>
      <c r="I46" s="33" t="s">
        <v>1846</v>
      </c>
      <c r="J46" s="2" t="s">
        <v>1847</v>
      </c>
      <c r="K46" s="2" t="s">
        <v>1723</v>
      </c>
      <c r="L46" s="2" t="s">
        <v>1724</v>
      </c>
      <c r="M46" s="29">
        <v>35515</v>
      </c>
      <c r="N46" s="29">
        <v>35600</v>
      </c>
      <c r="O46" s="29">
        <v>35030</v>
      </c>
      <c r="P46" s="29">
        <v>35115</v>
      </c>
      <c r="Q46" s="29">
        <v>-200</v>
      </c>
      <c r="R46" s="35">
        <v>-0.56999999999999995</v>
      </c>
      <c r="S46" s="29">
        <v>0.55191999999999997</v>
      </c>
      <c r="T46" s="29">
        <v>195.02609545000001</v>
      </c>
      <c r="U46" s="29">
        <v>6496.2749999999996</v>
      </c>
    </row>
    <row r="47" spans="7:21">
      <c r="G47" s="32">
        <v>20231215</v>
      </c>
      <c r="H47" s="32" t="s">
        <v>1848</v>
      </c>
      <c r="I47" s="33" t="s">
        <v>1849</v>
      </c>
      <c r="J47" s="2" t="s">
        <v>1850</v>
      </c>
      <c r="K47" s="2" t="s">
        <v>1723</v>
      </c>
      <c r="L47" s="2" t="s">
        <v>1724</v>
      </c>
      <c r="M47" s="29">
        <v>3440</v>
      </c>
      <c r="N47" s="29">
        <v>3510</v>
      </c>
      <c r="O47" s="29">
        <v>3440</v>
      </c>
      <c r="P47" s="29">
        <v>3490</v>
      </c>
      <c r="Q47" s="29">
        <v>60</v>
      </c>
      <c r="R47" s="35">
        <v>1.75</v>
      </c>
      <c r="S47" s="29">
        <v>0.526779</v>
      </c>
      <c r="T47" s="29">
        <v>18.3383276</v>
      </c>
      <c r="U47" s="29">
        <v>738.48400000000004</v>
      </c>
    </row>
    <row r="48" spans="7:21">
      <c r="G48" s="32">
        <v>20231215</v>
      </c>
      <c r="H48" s="32" t="s">
        <v>1851</v>
      </c>
      <c r="I48" s="33" t="s">
        <v>1852</v>
      </c>
      <c r="J48" s="2" t="s">
        <v>1853</v>
      </c>
      <c r="K48" s="2" t="s">
        <v>1723</v>
      </c>
      <c r="L48" s="2" t="s">
        <v>1724</v>
      </c>
      <c r="M48" s="29">
        <v>8425</v>
      </c>
      <c r="N48" s="29">
        <v>8430</v>
      </c>
      <c r="O48" s="29">
        <v>8375</v>
      </c>
      <c r="P48" s="29">
        <v>8410</v>
      </c>
      <c r="Q48" s="29">
        <v>80</v>
      </c>
      <c r="R48" s="35">
        <v>0.96</v>
      </c>
      <c r="S48" s="29">
        <v>0.51532500000000003</v>
      </c>
      <c r="T48" s="29">
        <v>43.304018800000001</v>
      </c>
      <c r="U48" s="29">
        <v>3145.34</v>
      </c>
    </row>
    <row r="49" spans="7:21">
      <c r="G49" s="32">
        <v>20231215</v>
      </c>
      <c r="H49" s="32" t="s">
        <v>1854</v>
      </c>
      <c r="I49" s="33" t="s">
        <v>1855</v>
      </c>
      <c r="J49" s="2" t="s">
        <v>1856</v>
      </c>
      <c r="K49" s="2" t="s">
        <v>1723</v>
      </c>
      <c r="L49" s="2" t="s">
        <v>1724</v>
      </c>
      <c r="M49" s="29">
        <v>11500</v>
      </c>
      <c r="N49" s="29">
        <v>11640</v>
      </c>
      <c r="O49" s="29">
        <v>11500</v>
      </c>
      <c r="P49" s="29">
        <v>11605</v>
      </c>
      <c r="Q49" s="29">
        <v>395</v>
      </c>
      <c r="R49" s="35">
        <v>3.52</v>
      </c>
      <c r="S49" s="29">
        <v>0.497695</v>
      </c>
      <c r="T49" s="29">
        <v>57.708800250000003</v>
      </c>
      <c r="U49" s="29">
        <v>2112.11</v>
      </c>
    </row>
    <row r="50" spans="7:21">
      <c r="G50" s="32">
        <v>20231215</v>
      </c>
      <c r="H50" s="32" t="s">
        <v>1857</v>
      </c>
      <c r="I50" s="33" t="s">
        <v>1858</v>
      </c>
      <c r="J50" s="2" t="s">
        <v>1859</v>
      </c>
      <c r="K50" s="2" t="s">
        <v>1723</v>
      </c>
      <c r="L50" s="2" t="s">
        <v>1724</v>
      </c>
      <c r="M50" s="29">
        <v>11550</v>
      </c>
      <c r="N50" s="29">
        <v>11550</v>
      </c>
      <c r="O50" s="29">
        <v>11310</v>
      </c>
      <c r="P50" s="29">
        <v>11380</v>
      </c>
      <c r="Q50" s="29">
        <v>-110</v>
      </c>
      <c r="R50" s="35">
        <v>-0.96</v>
      </c>
      <c r="S50" s="29">
        <v>0.496085</v>
      </c>
      <c r="T50" s="29">
        <v>52.515106449999998</v>
      </c>
      <c r="U50" s="29">
        <v>2972.4560000000001</v>
      </c>
    </row>
    <row r="51" spans="7:21">
      <c r="G51" s="32">
        <v>20231215</v>
      </c>
      <c r="H51" s="32" t="s">
        <v>1860</v>
      </c>
      <c r="I51" s="33" t="s">
        <v>1861</v>
      </c>
      <c r="J51" s="2" t="s">
        <v>1862</v>
      </c>
      <c r="K51" s="2" t="s">
        <v>1723</v>
      </c>
      <c r="L51" s="2" t="s">
        <v>1724</v>
      </c>
      <c r="M51" s="29">
        <v>10605</v>
      </c>
      <c r="N51" s="29">
        <v>10640</v>
      </c>
      <c r="O51" s="29">
        <v>10605</v>
      </c>
      <c r="P51" s="29">
        <v>10630</v>
      </c>
      <c r="Q51" s="29">
        <v>140</v>
      </c>
      <c r="R51" s="35">
        <v>1.33</v>
      </c>
      <c r="S51" s="29">
        <v>0.44978699999999999</v>
      </c>
      <c r="T51" s="29">
        <v>47.809889949999999</v>
      </c>
      <c r="U51" s="29">
        <v>1116.1500000000001</v>
      </c>
    </row>
    <row r="52" spans="7:21">
      <c r="G52" s="32">
        <v>20231215</v>
      </c>
      <c r="H52" s="32" t="s">
        <v>1863</v>
      </c>
      <c r="I52" s="33" t="s">
        <v>1864</v>
      </c>
      <c r="J52" s="2" t="s">
        <v>1865</v>
      </c>
      <c r="K52" s="2" t="s">
        <v>1723</v>
      </c>
      <c r="L52" s="2" t="s">
        <v>1724</v>
      </c>
      <c r="M52" s="29">
        <v>12780</v>
      </c>
      <c r="N52" s="29">
        <v>13065</v>
      </c>
      <c r="O52" s="29">
        <v>12610</v>
      </c>
      <c r="P52" s="29">
        <v>12660</v>
      </c>
      <c r="Q52" s="29">
        <v>-55</v>
      </c>
      <c r="R52" s="35">
        <v>-0.43</v>
      </c>
      <c r="S52" s="29">
        <v>0.44056600000000001</v>
      </c>
      <c r="T52" s="29">
        <v>56.486466</v>
      </c>
      <c r="U52" s="29">
        <v>797.58</v>
      </c>
    </row>
    <row r="53" spans="7:21">
      <c r="G53" s="32">
        <v>20231215</v>
      </c>
      <c r="H53" s="32" t="s">
        <v>1866</v>
      </c>
      <c r="I53" s="33" t="s">
        <v>1867</v>
      </c>
      <c r="J53" s="2" t="s">
        <v>1868</v>
      </c>
      <c r="K53" s="2" t="s">
        <v>1723</v>
      </c>
      <c r="L53" s="2" t="s">
        <v>1724</v>
      </c>
      <c r="M53" s="29">
        <v>16310</v>
      </c>
      <c r="N53" s="29">
        <v>16535</v>
      </c>
      <c r="O53" s="29">
        <v>16205</v>
      </c>
      <c r="P53" s="29">
        <v>16280</v>
      </c>
      <c r="Q53" s="29">
        <v>305</v>
      </c>
      <c r="R53" s="35">
        <v>1.91</v>
      </c>
      <c r="S53" s="29">
        <v>0.43294300000000002</v>
      </c>
      <c r="T53" s="29">
        <v>71.039637949999999</v>
      </c>
      <c r="U53" s="29">
        <v>325.60000000000002</v>
      </c>
    </row>
    <row r="54" spans="7:21">
      <c r="G54" s="32">
        <v>20231215</v>
      </c>
      <c r="H54" s="32" t="s">
        <v>1869</v>
      </c>
      <c r="I54" s="33" t="s">
        <v>1870</v>
      </c>
      <c r="J54" s="2" t="s">
        <v>1871</v>
      </c>
      <c r="K54" s="2" t="s">
        <v>1723</v>
      </c>
      <c r="L54" s="2" t="s">
        <v>1724</v>
      </c>
      <c r="M54" s="29">
        <v>10460</v>
      </c>
      <c r="N54" s="29">
        <v>10550</v>
      </c>
      <c r="O54" s="29">
        <v>10460</v>
      </c>
      <c r="P54" s="29">
        <v>10550</v>
      </c>
      <c r="Q54" s="29">
        <v>150</v>
      </c>
      <c r="R54" s="35">
        <v>1.44</v>
      </c>
      <c r="S54" s="29">
        <v>0.41630499999999998</v>
      </c>
      <c r="T54" s="29">
        <v>43.834021049999997</v>
      </c>
      <c r="U54" s="29">
        <v>3048.95</v>
      </c>
    </row>
    <row r="55" spans="7:21">
      <c r="G55" s="32">
        <v>20231215</v>
      </c>
      <c r="H55" s="32" t="s">
        <v>1872</v>
      </c>
      <c r="I55" s="33" t="s">
        <v>1873</v>
      </c>
      <c r="J55" s="2" t="s">
        <v>1874</v>
      </c>
      <c r="K55" s="2" t="s">
        <v>1723</v>
      </c>
      <c r="L55" s="2" t="s">
        <v>1724</v>
      </c>
      <c r="M55" s="29">
        <v>9635</v>
      </c>
      <c r="N55" s="29">
        <v>9690</v>
      </c>
      <c r="O55" s="29">
        <v>9635</v>
      </c>
      <c r="P55" s="29">
        <v>9675</v>
      </c>
      <c r="Q55" s="29">
        <v>-15</v>
      </c>
      <c r="R55" s="35">
        <v>-0.15</v>
      </c>
      <c r="S55" s="29">
        <v>0.411416</v>
      </c>
      <c r="T55" s="29">
        <v>39.759352450000002</v>
      </c>
      <c r="U55" s="29">
        <v>2254.2750000000001</v>
      </c>
    </row>
    <row r="56" spans="7:21">
      <c r="G56" s="32">
        <v>20231215</v>
      </c>
      <c r="H56" s="32" t="s">
        <v>1875</v>
      </c>
      <c r="I56" s="33" t="s">
        <v>1876</v>
      </c>
      <c r="J56" s="2" t="s">
        <v>1877</v>
      </c>
      <c r="K56" s="2" t="s">
        <v>1723</v>
      </c>
      <c r="L56" s="2" t="s">
        <v>1724</v>
      </c>
      <c r="M56" s="29">
        <v>6340</v>
      </c>
      <c r="N56" s="29">
        <v>6375</v>
      </c>
      <c r="O56" s="29">
        <v>6285</v>
      </c>
      <c r="P56" s="29">
        <v>6300</v>
      </c>
      <c r="Q56" s="29">
        <v>-40</v>
      </c>
      <c r="R56" s="35">
        <v>-0.63</v>
      </c>
      <c r="S56" s="29">
        <v>0.40697800000000001</v>
      </c>
      <c r="T56" s="29">
        <v>25.82932315</v>
      </c>
      <c r="U56" s="29">
        <v>1745.1</v>
      </c>
    </row>
    <row r="57" spans="7:21">
      <c r="G57" s="32">
        <v>20231215</v>
      </c>
      <c r="H57" s="32" t="s">
        <v>1878</v>
      </c>
      <c r="I57" s="33" t="s">
        <v>1879</v>
      </c>
      <c r="J57" s="2" t="s">
        <v>1880</v>
      </c>
      <c r="K57" s="2" t="s">
        <v>1723</v>
      </c>
      <c r="L57" s="2" t="s">
        <v>1724</v>
      </c>
      <c r="M57" s="29">
        <v>8205</v>
      </c>
      <c r="N57" s="29">
        <v>8220</v>
      </c>
      <c r="O57" s="29">
        <v>8190</v>
      </c>
      <c r="P57" s="29">
        <v>8215</v>
      </c>
      <c r="Q57" s="29">
        <v>-90</v>
      </c>
      <c r="R57" s="35">
        <v>-1.08</v>
      </c>
      <c r="S57" s="29">
        <v>0.40294600000000003</v>
      </c>
      <c r="T57" s="29">
        <v>33.062034400000002</v>
      </c>
      <c r="U57" s="29">
        <v>1942.8475000000001</v>
      </c>
    </row>
    <row r="58" spans="7:21">
      <c r="G58" s="32">
        <v>20231215</v>
      </c>
      <c r="H58" s="32" t="s">
        <v>1881</v>
      </c>
      <c r="I58" s="33" t="s">
        <v>1882</v>
      </c>
      <c r="J58" s="2" t="s">
        <v>1883</v>
      </c>
      <c r="K58" s="2" t="s">
        <v>1723</v>
      </c>
      <c r="L58" s="2" t="s">
        <v>1724</v>
      </c>
      <c r="M58" s="29">
        <v>18225</v>
      </c>
      <c r="N58" s="29">
        <v>18495</v>
      </c>
      <c r="O58" s="29">
        <v>18105</v>
      </c>
      <c r="P58" s="29">
        <v>18345</v>
      </c>
      <c r="Q58" s="29">
        <v>230</v>
      </c>
      <c r="R58" s="35">
        <v>1.27</v>
      </c>
      <c r="S58" s="29">
        <v>0.39730300000000002</v>
      </c>
      <c r="T58" s="29">
        <v>72.687008250000005</v>
      </c>
      <c r="U58" s="29">
        <v>6457.44</v>
      </c>
    </row>
    <row r="59" spans="7:21">
      <c r="G59" s="32">
        <v>20231215</v>
      </c>
      <c r="H59" s="32" t="s">
        <v>1884</v>
      </c>
      <c r="I59" s="33" t="s">
        <v>1885</v>
      </c>
      <c r="J59" s="2" t="s">
        <v>1886</v>
      </c>
      <c r="K59" s="2" t="s">
        <v>1723</v>
      </c>
      <c r="L59" s="2" t="s">
        <v>1724</v>
      </c>
      <c r="M59" s="29">
        <v>8370</v>
      </c>
      <c r="N59" s="29">
        <v>8610</v>
      </c>
      <c r="O59" s="29">
        <v>8370</v>
      </c>
      <c r="P59" s="29">
        <v>8525</v>
      </c>
      <c r="Q59" s="29">
        <v>265</v>
      </c>
      <c r="R59" s="35">
        <v>3.21</v>
      </c>
      <c r="S59" s="29">
        <v>0.39524900000000002</v>
      </c>
      <c r="T59" s="29">
        <v>33.676033050000001</v>
      </c>
      <c r="U59" s="29">
        <v>336.73750000000001</v>
      </c>
    </row>
    <row r="60" spans="7:21">
      <c r="G60" s="32">
        <v>20231215</v>
      </c>
      <c r="H60" s="32" t="s">
        <v>1887</v>
      </c>
      <c r="I60" s="33" t="s">
        <v>1888</v>
      </c>
      <c r="J60" s="2" t="s">
        <v>1889</v>
      </c>
      <c r="K60" s="2" t="s">
        <v>1723</v>
      </c>
      <c r="L60" s="2" t="s">
        <v>1724</v>
      </c>
      <c r="M60" s="29">
        <v>5470</v>
      </c>
      <c r="N60" s="29">
        <v>5680</v>
      </c>
      <c r="O60" s="29">
        <v>5470</v>
      </c>
      <c r="P60" s="29">
        <v>5620</v>
      </c>
      <c r="Q60" s="29">
        <v>285</v>
      </c>
      <c r="R60" s="35">
        <v>5.34</v>
      </c>
      <c r="S60" s="29">
        <v>0.39246500000000001</v>
      </c>
      <c r="T60" s="29">
        <v>22.005946049999999</v>
      </c>
      <c r="U60" s="29">
        <v>376.54</v>
      </c>
    </row>
    <row r="61" spans="7:21">
      <c r="G61" s="32">
        <v>20231215</v>
      </c>
      <c r="H61" s="32" t="s">
        <v>1890</v>
      </c>
      <c r="I61" s="33" t="s">
        <v>1891</v>
      </c>
      <c r="J61" s="2" t="s">
        <v>1892</v>
      </c>
      <c r="K61" s="2" t="s">
        <v>1723</v>
      </c>
      <c r="L61" s="2" t="s">
        <v>1724</v>
      </c>
      <c r="M61" s="29">
        <v>9600</v>
      </c>
      <c r="N61" s="29">
        <v>9675</v>
      </c>
      <c r="O61" s="29">
        <v>9600</v>
      </c>
      <c r="P61" s="29">
        <v>9665</v>
      </c>
      <c r="Q61" s="29">
        <v>135</v>
      </c>
      <c r="R61" s="35">
        <v>1.42</v>
      </c>
      <c r="S61" s="29">
        <v>0.385986</v>
      </c>
      <c r="T61" s="29">
        <v>37.238027000000002</v>
      </c>
      <c r="U61" s="29">
        <v>3653.37</v>
      </c>
    </row>
    <row r="62" spans="7:21">
      <c r="G62" s="32">
        <v>20231215</v>
      </c>
      <c r="H62" s="32" t="s">
        <v>1893</v>
      </c>
      <c r="I62" s="33" t="s">
        <v>1894</v>
      </c>
      <c r="J62" s="2" t="s">
        <v>1895</v>
      </c>
      <c r="K62" s="2" t="s">
        <v>1723</v>
      </c>
      <c r="L62" s="2" t="s">
        <v>1724</v>
      </c>
      <c r="M62" s="29">
        <v>8990</v>
      </c>
      <c r="N62" s="29">
        <v>9015</v>
      </c>
      <c r="O62" s="29">
        <v>8905</v>
      </c>
      <c r="P62" s="29">
        <v>8945</v>
      </c>
      <c r="Q62" s="29">
        <v>15</v>
      </c>
      <c r="R62" s="35">
        <v>0.17</v>
      </c>
      <c r="S62" s="29">
        <v>0.38047399999999998</v>
      </c>
      <c r="T62" s="29">
        <v>33.970804700000002</v>
      </c>
      <c r="U62" s="29">
        <v>11234.92</v>
      </c>
    </row>
    <row r="63" spans="7:21">
      <c r="G63" s="32">
        <v>20231215</v>
      </c>
      <c r="H63" s="32" t="s">
        <v>1896</v>
      </c>
      <c r="I63" s="33" t="s">
        <v>1897</v>
      </c>
      <c r="J63" s="2" t="s">
        <v>1898</v>
      </c>
      <c r="K63" s="2" t="s">
        <v>1723</v>
      </c>
      <c r="L63" s="2" t="s">
        <v>1724</v>
      </c>
      <c r="M63" s="29">
        <v>10965</v>
      </c>
      <c r="N63" s="29">
        <v>11100</v>
      </c>
      <c r="O63" s="29">
        <v>10950</v>
      </c>
      <c r="P63" s="29">
        <v>11005</v>
      </c>
      <c r="Q63" s="29">
        <v>95</v>
      </c>
      <c r="R63" s="35">
        <v>0.87</v>
      </c>
      <c r="S63" s="29">
        <v>0.35952200000000001</v>
      </c>
      <c r="T63" s="29">
        <v>39.528091349999997</v>
      </c>
      <c r="U63" s="29">
        <v>352.16</v>
      </c>
    </row>
    <row r="64" spans="7:21">
      <c r="G64" s="32">
        <v>20231215</v>
      </c>
      <c r="H64" s="32" t="s">
        <v>1899</v>
      </c>
      <c r="I64" s="33" t="s">
        <v>1900</v>
      </c>
      <c r="J64" s="2" t="s">
        <v>1901</v>
      </c>
      <c r="K64" s="2" t="s">
        <v>1723</v>
      </c>
      <c r="L64" s="2" t="s">
        <v>1724</v>
      </c>
      <c r="M64" s="29">
        <v>5365</v>
      </c>
      <c r="N64" s="29">
        <v>5490</v>
      </c>
      <c r="O64" s="29">
        <v>5360</v>
      </c>
      <c r="P64" s="29">
        <v>5415</v>
      </c>
      <c r="Q64" s="29">
        <v>85</v>
      </c>
      <c r="R64" s="35">
        <v>1.59</v>
      </c>
      <c r="S64" s="29">
        <v>0.35535</v>
      </c>
      <c r="T64" s="29">
        <v>19.341598099999999</v>
      </c>
      <c r="U64" s="29">
        <v>1713.8475000000001</v>
      </c>
    </row>
    <row r="65" spans="7:21">
      <c r="G65" s="32">
        <v>20231215</v>
      </c>
      <c r="H65" s="32" t="s">
        <v>1902</v>
      </c>
      <c r="I65" s="33" t="s">
        <v>1903</v>
      </c>
      <c r="J65" s="2" t="s">
        <v>1904</v>
      </c>
      <c r="K65" s="2" t="s">
        <v>1723</v>
      </c>
      <c r="L65" s="2" t="s">
        <v>1724</v>
      </c>
      <c r="M65" s="29">
        <v>10220</v>
      </c>
      <c r="N65" s="29">
        <v>10260</v>
      </c>
      <c r="O65" s="29">
        <v>10200</v>
      </c>
      <c r="P65" s="29">
        <v>10230</v>
      </c>
      <c r="Q65" s="29">
        <v>60</v>
      </c>
      <c r="R65" s="35">
        <v>0.59</v>
      </c>
      <c r="S65" s="29">
        <v>0.35072300000000001</v>
      </c>
      <c r="T65" s="29">
        <v>35.8860429</v>
      </c>
      <c r="U65" s="29">
        <v>511.5</v>
      </c>
    </row>
    <row r="66" spans="7:21">
      <c r="G66" s="32">
        <v>20231215</v>
      </c>
      <c r="H66" s="32" t="s">
        <v>1905</v>
      </c>
      <c r="I66" s="33" t="s">
        <v>1906</v>
      </c>
      <c r="J66" s="2" t="s">
        <v>1907</v>
      </c>
      <c r="K66" s="2" t="s">
        <v>1723</v>
      </c>
      <c r="L66" s="2" t="s">
        <v>1724</v>
      </c>
      <c r="M66" s="29">
        <v>10350</v>
      </c>
      <c r="N66" s="29">
        <v>10350</v>
      </c>
      <c r="O66" s="29">
        <v>10085</v>
      </c>
      <c r="P66" s="29">
        <v>10140</v>
      </c>
      <c r="Q66" s="29">
        <v>-70</v>
      </c>
      <c r="R66" s="35">
        <v>-0.69</v>
      </c>
      <c r="S66" s="29">
        <v>0.33704200000000001</v>
      </c>
      <c r="T66" s="29">
        <v>34.1445522</v>
      </c>
      <c r="U66" s="29">
        <v>152.1</v>
      </c>
    </row>
    <row r="67" spans="7:21">
      <c r="G67" s="32">
        <v>20231215</v>
      </c>
      <c r="H67" s="32" t="s">
        <v>1908</v>
      </c>
      <c r="I67" s="33" t="s">
        <v>1909</v>
      </c>
      <c r="J67" s="2" t="s">
        <v>1910</v>
      </c>
      <c r="K67" s="2" t="s">
        <v>1723</v>
      </c>
      <c r="L67" s="2" t="s">
        <v>1724</v>
      </c>
      <c r="M67" s="29">
        <v>7890</v>
      </c>
      <c r="N67" s="29">
        <v>7920</v>
      </c>
      <c r="O67" s="29">
        <v>7700</v>
      </c>
      <c r="P67" s="29">
        <v>7710</v>
      </c>
      <c r="Q67" s="29">
        <v>-160</v>
      </c>
      <c r="R67" s="35">
        <v>-2.0299999999999998</v>
      </c>
      <c r="S67" s="29">
        <v>0.33013900000000002</v>
      </c>
      <c r="T67" s="29">
        <v>25.699660900000001</v>
      </c>
      <c r="U67" s="29">
        <v>1134.912</v>
      </c>
    </row>
    <row r="68" spans="7:21">
      <c r="G68" s="32">
        <v>20231215</v>
      </c>
      <c r="H68" s="32" t="s">
        <v>1911</v>
      </c>
      <c r="I68" s="33" t="s">
        <v>1912</v>
      </c>
      <c r="J68" s="2" t="s">
        <v>1913</v>
      </c>
      <c r="K68" s="2" t="s">
        <v>1723</v>
      </c>
      <c r="L68" s="2" t="s">
        <v>1724</v>
      </c>
      <c r="M68" s="29">
        <v>11305</v>
      </c>
      <c r="N68" s="29">
        <v>11470</v>
      </c>
      <c r="O68" s="29">
        <v>11305</v>
      </c>
      <c r="P68" s="29">
        <v>11425</v>
      </c>
      <c r="Q68" s="29">
        <v>205</v>
      </c>
      <c r="R68" s="35">
        <v>1.83</v>
      </c>
      <c r="S68" s="29">
        <v>0.32896399999999998</v>
      </c>
      <c r="T68" s="29">
        <v>37.570164599999998</v>
      </c>
      <c r="U68" s="29">
        <v>14943.9</v>
      </c>
    </row>
    <row r="69" spans="7:21">
      <c r="G69" s="32">
        <v>20231215</v>
      </c>
      <c r="H69" s="32" t="s">
        <v>1914</v>
      </c>
      <c r="I69" s="33" t="s">
        <v>1915</v>
      </c>
      <c r="J69" s="2" t="s">
        <v>1916</v>
      </c>
      <c r="K69" s="2" t="s">
        <v>1723</v>
      </c>
      <c r="L69" s="2" t="s">
        <v>1724</v>
      </c>
      <c r="M69" s="29">
        <v>10605</v>
      </c>
      <c r="N69" s="29">
        <v>10710</v>
      </c>
      <c r="O69" s="29">
        <v>10605</v>
      </c>
      <c r="P69" s="29">
        <v>10710</v>
      </c>
      <c r="Q69" s="29">
        <v>155</v>
      </c>
      <c r="R69" s="35">
        <v>1.47</v>
      </c>
      <c r="S69" s="29">
        <v>0.30839499999999997</v>
      </c>
      <c r="T69" s="29">
        <v>32.957929550000003</v>
      </c>
      <c r="U69" s="29">
        <v>1917.09</v>
      </c>
    </row>
    <row r="70" spans="7:21">
      <c r="G70" s="32">
        <v>20231215</v>
      </c>
      <c r="H70" s="32" t="s">
        <v>1917</v>
      </c>
      <c r="I70" s="33" t="s">
        <v>1918</v>
      </c>
      <c r="J70" s="2" t="s">
        <v>1919</v>
      </c>
      <c r="K70" s="2" t="s">
        <v>1723</v>
      </c>
      <c r="L70" s="2" t="s">
        <v>1724</v>
      </c>
      <c r="M70" s="29">
        <v>12965</v>
      </c>
      <c r="N70" s="29">
        <v>13240</v>
      </c>
      <c r="O70" s="29">
        <v>12895</v>
      </c>
      <c r="P70" s="29">
        <v>13020</v>
      </c>
      <c r="Q70" s="29">
        <v>175</v>
      </c>
      <c r="R70" s="35">
        <v>1.36</v>
      </c>
      <c r="S70" s="29">
        <v>0.30570199999999997</v>
      </c>
      <c r="T70" s="29">
        <v>40.276149400000001</v>
      </c>
      <c r="U70" s="29">
        <v>794.22</v>
      </c>
    </row>
    <row r="71" spans="7:21">
      <c r="G71" s="32">
        <v>20231215</v>
      </c>
      <c r="H71" s="32" t="s">
        <v>1920</v>
      </c>
      <c r="I71" s="33" t="s">
        <v>1921</v>
      </c>
      <c r="J71" s="2" t="s">
        <v>1922</v>
      </c>
      <c r="K71" s="2" t="s">
        <v>1723</v>
      </c>
      <c r="L71" s="2" t="s">
        <v>1724</v>
      </c>
      <c r="M71" s="29">
        <v>2385</v>
      </c>
      <c r="N71" s="29">
        <v>2395</v>
      </c>
      <c r="O71" s="29">
        <v>2360</v>
      </c>
      <c r="P71" s="29">
        <v>2370</v>
      </c>
      <c r="Q71" s="29">
        <v>-25</v>
      </c>
      <c r="R71" s="35">
        <v>-1.04</v>
      </c>
      <c r="S71" s="29">
        <v>0.30406699999999998</v>
      </c>
      <c r="T71" s="29">
        <v>7.2209108000000004</v>
      </c>
      <c r="U71" s="29">
        <v>650.56500000000005</v>
      </c>
    </row>
    <row r="72" spans="7:21">
      <c r="G72" s="32">
        <v>20231215</v>
      </c>
      <c r="H72" s="32" t="s">
        <v>1923</v>
      </c>
      <c r="I72" s="33" t="s">
        <v>1924</v>
      </c>
      <c r="J72" s="2" t="s">
        <v>1925</v>
      </c>
      <c r="K72" s="2" t="s">
        <v>1723</v>
      </c>
      <c r="L72" s="2" t="s">
        <v>1724</v>
      </c>
      <c r="M72" s="29">
        <v>1020710</v>
      </c>
      <c r="N72" s="29">
        <v>1020715</v>
      </c>
      <c r="O72" s="29">
        <v>1020710</v>
      </c>
      <c r="P72" s="29">
        <v>1020715</v>
      </c>
      <c r="Q72" s="29">
        <v>335</v>
      </c>
      <c r="R72" s="35">
        <v>0.03</v>
      </c>
      <c r="S72" s="29">
        <v>0.30178199999999999</v>
      </c>
      <c r="T72" s="29">
        <v>3080.3266285</v>
      </c>
      <c r="U72" s="29">
        <v>61530.741629999997</v>
      </c>
    </row>
    <row r="73" spans="7:21">
      <c r="G73" s="32">
        <v>20231215</v>
      </c>
      <c r="H73" s="32" t="s">
        <v>1926</v>
      </c>
      <c r="I73" s="33" t="s">
        <v>1927</v>
      </c>
      <c r="J73" s="2" t="s">
        <v>1928</v>
      </c>
      <c r="K73" s="2" t="s">
        <v>1723</v>
      </c>
      <c r="L73" s="2" t="s">
        <v>1724</v>
      </c>
      <c r="M73" s="29">
        <v>13540</v>
      </c>
      <c r="N73" s="29">
        <v>13635</v>
      </c>
      <c r="O73" s="29">
        <v>13540</v>
      </c>
      <c r="P73" s="29">
        <v>13550</v>
      </c>
      <c r="Q73" s="29">
        <v>335</v>
      </c>
      <c r="R73" s="35">
        <v>2.5299999999999998</v>
      </c>
      <c r="S73" s="29">
        <v>0.299371</v>
      </c>
      <c r="T73" s="29">
        <v>40.636584200000001</v>
      </c>
      <c r="U73" s="29">
        <v>806.22500000000002</v>
      </c>
    </row>
    <row r="74" spans="7:21">
      <c r="G74" s="32">
        <v>20231215</v>
      </c>
      <c r="H74" s="32" t="s">
        <v>1929</v>
      </c>
      <c r="I74" s="33" t="s">
        <v>1930</v>
      </c>
      <c r="J74" s="2" t="s">
        <v>1931</v>
      </c>
      <c r="K74" s="2" t="s">
        <v>1723</v>
      </c>
      <c r="L74" s="2" t="s">
        <v>1724</v>
      </c>
      <c r="M74" s="29">
        <v>13780</v>
      </c>
      <c r="N74" s="29">
        <v>13840</v>
      </c>
      <c r="O74" s="29">
        <v>13755</v>
      </c>
      <c r="P74" s="29">
        <v>13835</v>
      </c>
      <c r="Q74" s="29">
        <v>-10</v>
      </c>
      <c r="R74" s="35">
        <v>-7.0000000000000007E-2</v>
      </c>
      <c r="S74" s="29">
        <v>0.299238</v>
      </c>
      <c r="T74" s="29">
        <v>41.303599249999998</v>
      </c>
      <c r="U74" s="29">
        <v>6772.2325000000001</v>
      </c>
    </row>
    <row r="75" spans="7:21">
      <c r="G75" s="32">
        <v>20231215</v>
      </c>
      <c r="H75" s="32" t="s">
        <v>1932</v>
      </c>
      <c r="I75" s="33" t="s">
        <v>1933</v>
      </c>
      <c r="J75" s="2" t="s">
        <v>1934</v>
      </c>
      <c r="K75" s="2" t="s">
        <v>1723</v>
      </c>
      <c r="L75" s="2" t="s">
        <v>1724</v>
      </c>
      <c r="M75" s="29">
        <v>8710</v>
      </c>
      <c r="N75" s="29">
        <v>8770</v>
      </c>
      <c r="O75" s="29">
        <v>8695</v>
      </c>
      <c r="P75" s="29">
        <v>8755</v>
      </c>
      <c r="Q75" s="29">
        <v>-20</v>
      </c>
      <c r="R75" s="35">
        <v>-0.23</v>
      </c>
      <c r="S75" s="29">
        <v>0.292356</v>
      </c>
      <c r="T75" s="29">
        <v>25.52346545</v>
      </c>
      <c r="U75" s="29">
        <v>1602.165</v>
      </c>
    </row>
    <row r="76" spans="7:21">
      <c r="G76" s="32">
        <v>20231215</v>
      </c>
      <c r="H76" s="32" t="s">
        <v>1935</v>
      </c>
      <c r="I76" s="33" t="s">
        <v>1936</v>
      </c>
      <c r="J76" s="2" t="s">
        <v>1937</v>
      </c>
      <c r="K76" s="2" t="s">
        <v>1723</v>
      </c>
      <c r="L76" s="2" t="s">
        <v>1724</v>
      </c>
      <c r="M76" s="29">
        <v>4875</v>
      </c>
      <c r="N76" s="29">
        <v>4875</v>
      </c>
      <c r="O76" s="29">
        <v>4725</v>
      </c>
      <c r="P76" s="29">
        <v>4760</v>
      </c>
      <c r="Q76" s="29">
        <v>-130</v>
      </c>
      <c r="R76" s="35">
        <v>-2.66</v>
      </c>
      <c r="S76" s="29">
        <v>0.28281099999999998</v>
      </c>
      <c r="T76" s="29">
        <v>13.429781050000001</v>
      </c>
      <c r="U76" s="29">
        <v>352.24</v>
      </c>
    </row>
    <row r="77" spans="7:21">
      <c r="G77" s="32">
        <v>20231215</v>
      </c>
      <c r="H77" s="32" t="s">
        <v>1938</v>
      </c>
      <c r="I77" s="33" t="s">
        <v>1939</v>
      </c>
      <c r="J77" s="2" t="s">
        <v>1940</v>
      </c>
      <c r="K77" s="2" t="s">
        <v>1723</v>
      </c>
      <c r="L77" s="2" t="s">
        <v>1724</v>
      </c>
      <c r="M77" s="29">
        <v>13330</v>
      </c>
      <c r="N77" s="29">
        <v>13395</v>
      </c>
      <c r="O77" s="29">
        <v>13330</v>
      </c>
      <c r="P77" s="29">
        <v>13390</v>
      </c>
      <c r="Q77" s="29">
        <v>5</v>
      </c>
      <c r="R77" s="35">
        <v>0.04</v>
      </c>
      <c r="S77" s="29">
        <v>0.26571499999999998</v>
      </c>
      <c r="T77" s="29">
        <v>35.50654025</v>
      </c>
      <c r="U77" s="29">
        <v>2477.15</v>
      </c>
    </row>
    <row r="78" spans="7:21">
      <c r="G78" s="32">
        <v>20231215</v>
      </c>
      <c r="H78" s="32" t="s">
        <v>1941</v>
      </c>
      <c r="I78" s="33" t="s">
        <v>1942</v>
      </c>
      <c r="J78" s="2" t="s">
        <v>1943</v>
      </c>
      <c r="K78" s="2" t="s">
        <v>1723</v>
      </c>
      <c r="L78" s="2" t="s">
        <v>1724</v>
      </c>
      <c r="M78" s="29">
        <v>105210</v>
      </c>
      <c r="N78" s="29">
        <v>105210</v>
      </c>
      <c r="O78" s="29">
        <v>105205</v>
      </c>
      <c r="P78" s="29">
        <v>105210</v>
      </c>
      <c r="Q78" s="29">
        <v>30</v>
      </c>
      <c r="R78" s="35">
        <v>0.03</v>
      </c>
      <c r="S78" s="29">
        <v>0.26388899999999998</v>
      </c>
      <c r="T78" s="29">
        <v>277.63706934999999</v>
      </c>
      <c r="U78" s="29">
        <v>47107.777499999997</v>
      </c>
    </row>
    <row r="79" spans="7:21">
      <c r="G79" s="32">
        <v>20231215</v>
      </c>
      <c r="H79" s="32" t="s">
        <v>1944</v>
      </c>
      <c r="I79" s="33" t="s">
        <v>1945</v>
      </c>
      <c r="J79" s="2" t="s">
        <v>1946</v>
      </c>
      <c r="K79" s="2" t="s">
        <v>1723</v>
      </c>
      <c r="L79" s="2" t="s">
        <v>1724</v>
      </c>
      <c r="M79" s="29">
        <v>12560</v>
      </c>
      <c r="N79" s="29">
        <v>12740</v>
      </c>
      <c r="O79" s="29">
        <v>12555</v>
      </c>
      <c r="P79" s="29">
        <v>12720</v>
      </c>
      <c r="Q79" s="29">
        <v>405</v>
      </c>
      <c r="R79" s="35">
        <v>3.29</v>
      </c>
      <c r="S79" s="29">
        <v>0.26141900000000001</v>
      </c>
      <c r="T79" s="29">
        <v>33.274359199999999</v>
      </c>
      <c r="U79" s="29">
        <v>265.08479999999997</v>
      </c>
    </row>
    <row r="80" spans="7:21">
      <c r="G80" s="32">
        <v>20231215</v>
      </c>
      <c r="H80" s="32" t="s">
        <v>1947</v>
      </c>
      <c r="I80" s="33" t="s">
        <v>1948</v>
      </c>
      <c r="J80" s="2" t="s">
        <v>1949</v>
      </c>
      <c r="K80" s="2" t="s">
        <v>1723</v>
      </c>
      <c r="L80" s="2" t="s">
        <v>1724</v>
      </c>
      <c r="M80" s="29">
        <v>10150</v>
      </c>
      <c r="N80" s="29">
        <v>10160</v>
      </c>
      <c r="O80" s="29">
        <v>10120</v>
      </c>
      <c r="P80" s="29">
        <v>10150</v>
      </c>
      <c r="Q80" s="29">
        <v>-110</v>
      </c>
      <c r="R80" s="35">
        <v>-1.07</v>
      </c>
      <c r="S80" s="29">
        <v>0.25936500000000001</v>
      </c>
      <c r="T80" s="29">
        <v>26.3202696</v>
      </c>
      <c r="U80" s="29">
        <v>152.25</v>
      </c>
    </row>
    <row r="81" spans="7:21">
      <c r="G81" s="32">
        <v>20231215</v>
      </c>
      <c r="H81" s="32" t="s">
        <v>1950</v>
      </c>
      <c r="I81" s="33" t="s">
        <v>1951</v>
      </c>
      <c r="J81" s="2" t="s">
        <v>1952</v>
      </c>
      <c r="K81" s="2" t="s">
        <v>1723</v>
      </c>
      <c r="L81" s="2" t="s">
        <v>1724</v>
      </c>
      <c r="M81" s="29">
        <v>8320</v>
      </c>
      <c r="N81" s="29">
        <v>8320</v>
      </c>
      <c r="O81" s="29">
        <v>8130</v>
      </c>
      <c r="P81" s="29">
        <v>8165</v>
      </c>
      <c r="Q81" s="29">
        <v>-155</v>
      </c>
      <c r="R81" s="35">
        <v>-1.86</v>
      </c>
      <c r="S81" s="29">
        <v>0.24873899999999999</v>
      </c>
      <c r="T81" s="29">
        <v>20.35511915</v>
      </c>
      <c r="U81" s="29">
        <v>685.86</v>
      </c>
    </row>
    <row r="82" spans="7:21">
      <c r="G82" s="32">
        <v>20231215</v>
      </c>
      <c r="H82" s="32" t="s">
        <v>1953</v>
      </c>
      <c r="I82" s="33" t="s">
        <v>1954</v>
      </c>
      <c r="J82" s="2" t="s">
        <v>1955</v>
      </c>
      <c r="K82" s="2" t="s">
        <v>1723</v>
      </c>
      <c r="L82" s="2" t="s">
        <v>1724</v>
      </c>
      <c r="M82" s="29">
        <v>4065</v>
      </c>
      <c r="N82" s="29">
        <v>4090</v>
      </c>
      <c r="O82" s="29">
        <v>4050</v>
      </c>
      <c r="P82" s="29">
        <v>4070</v>
      </c>
      <c r="Q82" s="29">
        <v>100</v>
      </c>
      <c r="R82" s="35">
        <v>2.52</v>
      </c>
      <c r="S82" s="29">
        <v>0.243259</v>
      </c>
      <c r="T82" s="29">
        <v>9.8998918000000007</v>
      </c>
      <c r="U82" s="29">
        <v>223.85</v>
      </c>
    </row>
    <row r="83" spans="7:21">
      <c r="G83" s="32">
        <v>20231215</v>
      </c>
      <c r="H83" s="32" t="s">
        <v>1956</v>
      </c>
      <c r="I83" s="33" t="s">
        <v>1957</v>
      </c>
      <c r="J83" s="2" t="s">
        <v>1958</v>
      </c>
      <c r="K83" s="2" t="s">
        <v>1723</v>
      </c>
      <c r="L83" s="2" t="s">
        <v>1724</v>
      </c>
      <c r="M83" s="29">
        <v>14015</v>
      </c>
      <c r="N83" s="29">
        <v>14060</v>
      </c>
      <c r="O83" s="29">
        <v>13965</v>
      </c>
      <c r="P83" s="29">
        <v>14040</v>
      </c>
      <c r="Q83" s="29">
        <v>-5</v>
      </c>
      <c r="R83" s="35">
        <v>-0.04</v>
      </c>
      <c r="S83" s="29">
        <v>0.241816</v>
      </c>
      <c r="T83" s="29">
        <v>33.863141949999999</v>
      </c>
      <c r="U83" s="29">
        <v>1019.304</v>
      </c>
    </row>
    <row r="84" spans="7:21">
      <c r="G84" s="32">
        <v>20231215</v>
      </c>
      <c r="H84" s="32" t="s">
        <v>1959</v>
      </c>
      <c r="I84" s="33" t="s">
        <v>1960</v>
      </c>
      <c r="J84" s="2" t="s">
        <v>1961</v>
      </c>
      <c r="K84" s="2" t="s">
        <v>1723</v>
      </c>
      <c r="L84" s="2" t="s">
        <v>1724</v>
      </c>
      <c r="M84" s="29">
        <v>10250</v>
      </c>
      <c r="N84" s="29">
        <v>10310</v>
      </c>
      <c r="O84" s="29">
        <v>10250</v>
      </c>
      <c r="P84" s="29">
        <v>10305</v>
      </c>
      <c r="Q84" s="29">
        <v>-65</v>
      </c>
      <c r="R84" s="35">
        <v>-0.63</v>
      </c>
      <c r="S84" s="29">
        <v>0.240787</v>
      </c>
      <c r="T84" s="29">
        <v>24.757978999999999</v>
      </c>
      <c r="U84" s="29">
        <v>685.28250000000003</v>
      </c>
    </row>
    <row r="85" spans="7:21">
      <c r="G85" s="32">
        <v>20231215</v>
      </c>
      <c r="H85" s="32" t="s">
        <v>1962</v>
      </c>
      <c r="I85" s="33" t="s">
        <v>1963</v>
      </c>
      <c r="J85" s="2" t="s">
        <v>1964</v>
      </c>
      <c r="K85" s="2" t="s">
        <v>1723</v>
      </c>
      <c r="L85" s="2" t="s">
        <v>1724</v>
      </c>
      <c r="M85" s="29">
        <v>10155</v>
      </c>
      <c r="N85" s="29">
        <v>10205</v>
      </c>
      <c r="O85" s="29">
        <v>10135</v>
      </c>
      <c r="P85" s="29">
        <v>10195</v>
      </c>
      <c r="Q85" s="29">
        <v>-15</v>
      </c>
      <c r="R85" s="35">
        <v>-0.15</v>
      </c>
      <c r="S85" s="29">
        <v>0.239757</v>
      </c>
      <c r="T85" s="29">
        <v>24.421584249999999</v>
      </c>
      <c r="U85" s="29">
        <v>117.24250000000001</v>
      </c>
    </row>
    <row r="86" spans="7:21">
      <c r="G86" s="32">
        <v>20231215</v>
      </c>
      <c r="H86" s="32" t="s">
        <v>1965</v>
      </c>
      <c r="I86" s="33" t="s">
        <v>1966</v>
      </c>
      <c r="J86" s="2" t="s">
        <v>1967</v>
      </c>
      <c r="K86" s="2" t="s">
        <v>1723</v>
      </c>
      <c r="L86" s="2" t="s">
        <v>1724</v>
      </c>
      <c r="M86" s="29">
        <v>5930</v>
      </c>
      <c r="N86" s="29">
        <v>6165</v>
      </c>
      <c r="O86" s="29">
        <v>5890</v>
      </c>
      <c r="P86" s="29">
        <v>5970</v>
      </c>
      <c r="Q86" s="29">
        <v>200</v>
      </c>
      <c r="R86" s="35">
        <v>3.47</v>
      </c>
      <c r="S86" s="29">
        <v>0.23774500000000001</v>
      </c>
      <c r="T86" s="29">
        <v>14.3903479</v>
      </c>
      <c r="U86" s="29">
        <v>216.114</v>
      </c>
    </row>
    <row r="87" spans="7:21">
      <c r="G87" s="32">
        <v>20231215</v>
      </c>
      <c r="H87" s="32" t="s">
        <v>1968</v>
      </c>
      <c r="I87" s="33" t="s">
        <v>1969</v>
      </c>
      <c r="J87" s="2" t="s">
        <v>1970</v>
      </c>
      <c r="K87" s="2" t="s">
        <v>1723</v>
      </c>
      <c r="L87" s="2" t="s">
        <v>1724</v>
      </c>
      <c r="M87" s="29">
        <v>6030</v>
      </c>
      <c r="N87" s="29">
        <v>6060</v>
      </c>
      <c r="O87" s="29">
        <v>5910</v>
      </c>
      <c r="P87" s="29">
        <v>5935</v>
      </c>
      <c r="Q87" s="29">
        <v>-90</v>
      </c>
      <c r="R87" s="35">
        <v>-1.49</v>
      </c>
      <c r="S87" s="29">
        <v>0.23640800000000001</v>
      </c>
      <c r="T87" s="29">
        <v>14.18698625</v>
      </c>
      <c r="U87" s="29">
        <v>949.6</v>
      </c>
    </row>
    <row r="88" spans="7:21">
      <c r="G88" s="32">
        <v>20231215</v>
      </c>
      <c r="H88" s="32" t="s">
        <v>1971</v>
      </c>
      <c r="I88" s="33" t="s">
        <v>1972</v>
      </c>
      <c r="J88" s="2" t="s">
        <v>1973</v>
      </c>
      <c r="K88" s="2" t="s">
        <v>1723</v>
      </c>
      <c r="L88" s="2" t="s">
        <v>1724</v>
      </c>
      <c r="M88" s="29">
        <v>26045</v>
      </c>
      <c r="N88" s="29">
        <v>26285</v>
      </c>
      <c r="O88" s="29">
        <v>26045</v>
      </c>
      <c r="P88" s="29">
        <v>26190</v>
      </c>
      <c r="Q88" s="29">
        <v>270</v>
      </c>
      <c r="R88" s="35">
        <v>1.04</v>
      </c>
      <c r="S88" s="29">
        <v>0.235432</v>
      </c>
      <c r="T88" s="29">
        <v>61.679110649999998</v>
      </c>
      <c r="U88" s="29">
        <v>3221.37</v>
      </c>
    </row>
    <row r="89" spans="7:21">
      <c r="G89" s="32">
        <v>20231215</v>
      </c>
      <c r="H89" s="32" t="s">
        <v>1974</v>
      </c>
      <c r="I89" s="33" t="s">
        <v>1975</v>
      </c>
      <c r="J89" s="2" t="s">
        <v>1976</v>
      </c>
      <c r="K89" s="2" t="s">
        <v>1723</v>
      </c>
      <c r="L89" s="2" t="s">
        <v>1724</v>
      </c>
      <c r="M89" s="29">
        <v>8115</v>
      </c>
      <c r="N89" s="29">
        <v>8140</v>
      </c>
      <c r="O89" s="29">
        <v>8045</v>
      </c>
      <c r="P89" s="29">
        <v>8055</v>
      </c>
      <c r="Q89" s="29">
        <v>0</v>
      </c>
      <c r="R89" s="35">
        <v>0</v>
      </c>
      <c r="S89" s="29">
        <v>0.23461499999999999</v>
      </c>
      <c r="T89" s="29">
        <v>19.003503850000001</v>
      </c>
      <c r="U89" s="29">
        <v>1848.6224999999999</v>
      </c>
    </row>
    <row r="90" spans="7:21">
      <c r="G90" s="32">
        <v>20231215</v>
      </c>
      <c r="H90" s="32" t="s">
        <v>1977</v>
      </c>
      <c r="I90" s="33" t="s">
        <v>1978</v>
      </c>
      <c r="J90" s="2" t="s">
        <v>1979</v>
      </c>
      <c r="K90" s="2" t="s">
        <v>1723</v>
      </c>
      <c r="L90" s="2" t="s">
        <v>1724</v>
      </c>
      <c r="M90" s="29">
        <v>11750</v>
      </c>
      <c r="N90" s="29">
        <v>11755</v>
      </c>
      <c r="O90" s="29">
        <v>11575</v>
      </c>
      <c r="P90" s="29">
        <v>11715</v>
      </c>
      <c r="Q90" s="29">
        <v>90</v>
      </c>
      <c r="R90" s="35">
        <v>0.77</v>
      </c>
      <c r="S90" s="29">
        <v>0.23263500000000001</v>
      </c>
      <c r="T90" s="29">
        <v>27.087396049999999</v>
      </c>
      <c r="U90" s="29">
        <v>205.01249999999999</v>
      </c>
    </row>
    <row r="91" spans="7:21">
      <c r="G91" s="32">
        <v>20231215</v>
      </c>
      <c r="H91" s="32" t="s">
        <v>1980</v>
      </c>
      <c r="I91" s="33" t="s">
        <v>1981</v>
      </c>
      <c r="J91" s="2" t="s">
        <v>1982</v>
      </c>
      <c r="K91" s="2" t="s">
        <v>1723</v>
      </c>
      <c r="L91" s="2" t="s">
        <v>1724</v>
      </c>
      <c r="M91" s="29">
        <v>12430</v>
      </c>
      <c r="N91" s="29">
        <v>12490</v>
      </c>
      <c r="O91" s="29">
        <v>12410</v>
      </c>
      <c r="P91" s="29">
        <v>12460</v>
      </c>
      <c r="Q91" s="29">
        <v>235</v>
      </c>
      <c r="R91" s="35">
        <v>1.92</v>
      </c>
      <c r="S91" s="29">
        <v>0.23147100000000001</v>
      </c>
      <c r="T91" s="29">
        <v>28.828171149999999</v>
      </c>
      <c r="U91" s="29">
        <v>242.97</v>
      </c>
    </row>
    <row r="92" spans="7:21">
      <c r="G92" s="32">
        <v>20231215</v>
      </c>
      <c r="H92" s="32" t="s">
        <v>1983</v>
      </c>
      <c r="I92" s="33" t="s">
        <v>1984</v>
      </c>
      <c r="J92" s="2" t="s">
        <v>1985</v>
      </c>
      <c r="K92" s="2" t="s">
        <v>1723</v>
      </c>
      <c r="L92" s="2" t="s">
        <v>1724</v>
      </c>
      <c r="M92" s="29">
        <v>7160</v>
      </c>
      <c r="N92" s="29">
        <v>7160</v>
      </c>
      <c r="O92" s="29">
        <v>7005</v>
      </c>
      <c r="P92" s="29">
        <v>7065</v>
      </c>
      <c r="Q92" s="29">
        <v>-110</v>
      </c>
      <c r="R92" s="35">
        <v>-1.53</v>
      </c>
      <c r="S92" s="29">
        <v>0.23124</v>
      </c>
      <c r="T92" s="29">
        <v>16.322522599999999</v>
      </c>
      <c r="U92" s="29">
        <v>211.95</v>
      </c>
    </row>
    <row r="93" spans="7:21">
      <c r="G93" s="32">
        <v>20231215</v>
      </c>
      <c r="H93" s="32" t="s">
        <v>1986</v>
      </c>
      <c r="I93" s="33" t="s">
        <v>1987</v>
      </c>
      <c r="J93" s="2" t="s">
        <v>1988</v>
      </c>
      <c r="K93" s="2" t="s">
        <v>1723</v>
      </c>
      <c r="L93" s="2" t="s">
        <v>1724</v>
      </c>
      <c r="M93" s="29">
        <v>15410</v>
      </c>
      <c r="N93" s="29">
        <v>15490</v>
      </c>
      <c r="O93" s="29">
        <v>15410</v>
      </c>
      <c r="P93" s="29">
        <v>15485</v>
      </c>
      <c r="Q93" s="29">
        <v>0</v>
      </c>
      <c r="R93" s="35">
        <v>0</v>
      </c>
      <c r="S93" s="29">
        <v>0.23028599999999999</v>
      </c>
      <c r="T93" s="29">
        <v>33.108589049999999</v>
      </c>
      <c r="U93" s="29">
        <v>6612.0950000000003</v>
      </c>
    </row>
    <row r="94" spans="7:21">
      <c r="G94" s="32">
        <v>20231215</v>
      </c>
      <c r="H94" s="32" t="s">
        <v>1989</v>
      </c>
      <c r="I94" s="33" t="s">
        <v>1990</v>
      </c>
      <c r="J94" s="2" t="s">
        <v>1991</v>
      </c>
      <c r="K94" s="2" t="s">
        <v>1723</v>
      </c>
      <c r="L94" s="2" t="s">
        <v>1724</v>
      </c>
      <c r="M94" s="29">
        <v>13805</v>
      </c>
      <c r="N94" s="29">
        <v>14100</v>
      </c>
      <c r="O94" s="29">
        <v>13800</v>
      </c>
      <c r="P94" s="29">
        <v>13915</v>
      </c>
      <c r="Q94" s="29">
        <v>250</v>
      </c>
      <c r="R94" s="35">
        <v>1.83</v>
      </c>
      <c r="S94" s="29">
        <v>0.228321</v>
      </c>
      <c r="T94" s="29">
        <v>31.878998200000002</v>
      </c>
      <c r="U94" s="29">
        <v>340.91750000000002</v>
      </c>
    </row>
    <row r="95" spans="7:21">
      <c r="G95" s="32">
        <v>20231215</v>
      </c>
      <c r="H95" s="32" t="s">
        <v>1992</v>
      </c>
      <c r="I95" s="33" t="s">
        <v>1993</v>
      </c>
      <c r="J95" s="2" t="s">
        <v>1994</v>
      </c>
      <c r="K95" s="2" t="s">
        <v>1723</v>
      </c>
      <c r="L95" s="2" t="s">
        <v>1724</v>
      </c>
      <c r="M95" s="29">
        <v>49185</v>
      </c>
      <c r="N95" s="29">
        <v>49200</v>
      </c>
      <c r="O95" s="29">
        <v>48730</v>
      </c>
      <c r="P95" s="29">
        <v>48950</v>
      </c>
      <c r="Q95" s="29">
        <v>1035</v>
      </c>
      <c r="R95" s="35">
        <v>2.16</v>
      </c>
      <c r="S95" s="29">
        <v>0.227739</v>
      </c>
      <c r="T95" s="29">
        <v>111.4573819</v>
      </c>
      <c r="U95" s="29">
        <v>1620.2449999999999</v>
      </c>
    </row>
    <row r="96" spans="7:21">
      <c r="G96" s="32">
        <v>20231215</v>
      </c>
      <c r="H96" s="32" t="s">
        <v>1995</v>
      </c>
      <c r="I96" s="33" t="s">
        <v>1996</v>
      </c>
      <c r="J96" s="2" t="s">
        <v>1997</v>
      </c>
      <c r="K96" s="2" t="s">
        <v>1723</v>
      </c>
      <c r="L96" s="2" t="s">
        <v>1724</v>
      </c>
      <c r="M96" s="29">
        <v>53135</v>
      </c>
      <c r="N96" s="29">
        <v>53205</v>
      </c>
      <c r="O96" s="29">
        <v>53090</v>
      </c>
      <c r="P96" s="29">
        <v>53190</v>
      </c>
      <c r="Q96" s="29">
        <v>-25</v>
      </c>
      <c r="R96" s="35">
        <v>-0.05</v>
      </c>
      <c r="S96" s="29">
        <v>0.22359100000000001</v>
      </c>
      <c r="T96" s="29">
        <v>118.84986644999999</v>
      </c>
      <c r="U96" s="29">
        <v>3018.5324999999998</v>
      </c>
    </row>
    <row r="97" spans="7:21">
      <c r="G97" s="32">
        <v>20231215</v>
      </c>
      <c r="H97" s="32" t="s">
        <v>1998</v>
      </c>
      <c r="I97" s="33" t="s">
        <v>1999</v>
      </c>
      <c r="J97" s="2" t="s">
        <v>2000</v>
      </c>
      <c r="K97" s="2" t="s">
        <v>1723</v>
      </c>
      <c r="L97" s="2" t="s">
        <v>1724</v>
      </c>
      <c r="M97" s="29">
        <v>14195</v>
      </c>
      <c r="N97" s="29">
        <v>14265</v>
      </c>
      <c r="O97" s="29">
        <v>14190</v>
      </c>
      <c r="P97" s="29">
        <v>14260</v>
      </c>
      <c r="Q97" s="29">
        <v>-90</v>
      </c>
      <c r="R97" s="35">
        <v>-0.63</v>
      </c>
      <c r="S97" s="29">
        <v>0.221832</v>
      </c>
      <c r="T97" s="29">
        <v>31.566613650000001</v>
      </c>
      <c r="U97" s="29">
        <v>5910.77</v>
      </c>
    </row>
    <row r="98" spans="7:21">
      <c r="G98" s="32">
        <v>20231215</v>
      </c>
      <c r="H98" s="32" t="s">
        <v>2001</v>
      </c>
      <c r="I98" s="33" t="s">
        <v>2002</v>
      </c>
      <c r="J98" s="2" t="s">
        <v>2003</v>
      </c>
      <c r="K98" s="2" t="s">
        <v>1723</v>
      </c>
      <c r="L98" s="2" t="s">
        <v>1724</v>
      </c>
      <c r="M98" s="29">
        <v>14480</v>
      </c>
      <c r="N98" s="29">
        <v>14545</v>
      </c>
      <c r="O98" s="29">
        <v>14370</v>
      </c>
      <c r="P98" s="29">
        <v>14390</v>
      </c>
      <c r="Q98" s="29">
        <v>105</v>
      </c>
      <c r="R98" s="35">
        <v>0.74</v>
      </c>
      <c r="S98" s="29">
        <v>0.22</v>
      </c>
      <c r="T98" s="29">
        <v>31.718659649999999</v>
      </c>
      <c r="U98" s="29">
        <v>43.17</v>
      </c>
    </row>
    <row r="99" spans="7:21">
      <c r="G99" s="32">
        <v>20231215</v>
      </c>
      <c r="H99" s="32" t="s">
        <v>2004</v>
      </c>
      <c r="I99" s="33" t="s">
        <v>2005</v>
      </c>
      <c r="J99" s="2" t="s">
        <v>2006</v>
      </c>
      <c r="K99" s="2" t="s">
        <v>1723</v>
      </c>
      <c r="L99" s="2" t="s">
        <v>1724</v>
      </c>
      <c r="M99" s="29">
        <v>13365</v>
      </c>
      <c r="N99" s="29">
        <v>13705</v>
      </c>
      <c r="O99" s="29">
        <v>13275</v>
      </c>
      <c r="P99" s="29">
        <v>13495</v>
      </c>
      <c r="Q99" s="29">
        <v>360</v>
      </c>
      <c r="R99" s="35">
        <v>2.74</v>
      </c>
      <c r="S99" s="29">
        <v>0.21813199999999999</v>
      </c>
      <c r="T99" s="29">
        <v>29.479414349999999</v>
      </c>
      <c r="U99" s="29">
        <v>438.58749999999998</v>
      </c>
    </row>
    <row r="100" spans="7:21">
      <c r="G100" s="32">
        <v>20231215</v>
      </c>
      <c r="H100" s="32" t="s">
        <v>2007</v>
      </c>
      <c r="I100" s="33" t="s">
        <v>2008</v>
      </c>
      <c r="J100" s="2" t="s">
        <v>2009</v>
      </c>
      <c r="K100" s="2" t="s">
        <v>1723</v>
      </c>
      <c r="L100" s="2" t="s">
        <v>1724</v>
      </c>
      <c r="M100" s="29">
        <v>36850</v>
      </c>
      <c r="N100" s="29">
        <v>36950</v>
      </c>
      <c r="O100" s="29">
        <v>36355</v>
      </c>
      <c r="P100" s="29">
        <v>36480</v>
      </c>
      <c r="Q100" s="29">
        <v>130</v>
      </c>
      <c r="R100" s="35">
        <v>0.36</v>
      </c>
      <c r="S100" s="29">
        <v>0.20763200000000001</v>
      </c>
      <c r="T100" s="29">
        <v>76.198819700000001</v>
      </c>
      <c r="U100" s="29">
        <v>2429.5680000000002</v>
      </c>
    </row>
    <row r="101" spans="7:21">
      <c r="G101" s="32">
        <v>20231215</v>
      </c>
      <c r="H101" s="32" t="s">
        <v>2010</v>
      </c>
      <c r="I101" s="33" t="s">
        <v>2011</v>
      </c>
      <c r="J101" s="2" t="s">
        <v>2012</v>
      </c>
      <c r="K101" s="2" t="s">
        <v>1723</v>
      </c>
      <c r="L101" s="2" t="s">
        <v>1724</v>
      </c>
      <c r="M101" s="29">
        <v>10425</v>
      </c>
      <c r="N101" s="29">
        <v>10485</v>
      </c>
      <c r="O101" s="29">
        <v>10365</v>
      </c>
      <c r="P101" s="29">
        <v>10365</v>
      </c>
      <c r="Q101" s="29">
        <v>-35</v>
      </c>
      <c r="R101" s="35">
        <v>-0.34</v>
      </c>
      <c r="S101" s="29">
        <v>0.203708</v>
      </c>
      <c r="T101" s="29">
        <v>21.2533593</v>
      </c>
      <c r="U101" s="29">
        <v>875.84249999999997</v>
      </c>
    </row>
    <row r="102" spans="7:21">
      <c r="G102" s="32">
        <v>20231215</v>
      </c>
      <c r="H102" s="32" t="s">
        <v>2013</v>
      </c>
      <c r="I102" s="33" t="s">
        <v>2014</v>
      </c>
      <c r="J102" s="2" t="s">
        <v>2015</v>
      </c>
      <c r="K102" s="2" t="s">
        <v>1723</v>
      </c>
      <c r="L102" s="2" t="s">
        <v>1724</v>
      </c>
      <c r="M102" s="29">
        <v>3470</v>
      </c>
      <c r="N102" s="29">
        <v>3480</v>
      </c>
      <c r="O102" s="29">
        <v>3450</v>
      </c>
      <c r="P102" s="29">
        <v>3465</v>
      </c>
      <c r="Q102" s="29">
        <v>10</v>
      </c>
      <c r="R102" s="35">
        <v>0.28999999999999998</v>
      </c>
      <c r="S102" s="29">
        <v>0.20349800000000001</v>
      </c>
      <c r="T102" s="29">
        <v>7.0522840999999996</v>
      </c>
      <c r="U102" s="29">
        <v>1316.0070000000001</v>
      </c>
    </row>
    <row r="103" spans="7:21">
      <c r="G103" s="32">
        <v>20231215</v>
      </c>
      <c r="H103" s="32" t="s">
        <v>2016</v>
      </c>
      <c r="I103" s="33" t="s">
        <v>2017</v>
      </c>
      <c r="J103" s="2" t="s">
        <v>2018</v>
      </c>
      <c r="K103" s="2" t="s">
        <v>1723</v>
      </c>
      <c r="L103" s="2" t="s">
        <v>1724</v>
      </c>
      <c r="M103" s="29">
        <v>11755</v>
      </c>
      <c r="N103" s="29">
        <v>11880</v>
      </c>
      <c r="O103" s="29">
        <v>11750</v>
      </c>
      <c r="P103" s="29">
        <v>11780</v>
      </c>
      <c r="Q103" s="29">
        <v>65</v>
      </c>
      <c r="R103" s="35">
        <v>0.55000000000000004</v>
      </c>
      <c r="S103" s="29">
        <v>0.20216300000000001</v>
      </c>
      <c r="T103" s="29">
        <v>23.922195599999998</v>
      </c>
      <c r="U103" s="29">
        <v>20479.53</v>
      </c>
    </row>
    <row r="104" spans="7:21">
      <c r="G104" s="32">
        <v>20231215</v>
      </c>
      <c r="H104" s="32" t="s">
        <v>2019</v>
      </c>
      <c r="I104" s="33" t="s">
        <v>2020</v>
      </c>
      <c r="J104" s="2" t="s">
        <v>2021</v>
      </c>
      <c r="K104" s="2" t="s">
        <v>1723</v>
      </c>
      <c r="L104" s="2" t="s">
        <v>1724</v>
      </c>
      <c r="M104" s="29">
        <v>2490</v>
      </c>
      <c r="N104" s="29">
        <v>2490</v>
      </c>
      <c r="O104" s="29">
        <v>2390</v>
      </c>
      <c r="P104" s="29">
        <v>2435</v>
      </c>
      <c r="Q104" s="29">
        <v>-35</v>
      </c>
      <c r="R104" s="35">
        <v>-1.42</v>
      </c>
      <c r="S104" s="29">
        <v>0.19956099999999999</v>
      </c>
      <c r="T104" s="29">
        <v>4.8073828499999998</v>
      </c>
      <c r="U104" s="29">
        <v>214.28</v>
      </c>
    </row>
    <row r="105" spans="7:21">
      <c r="G105" s="32">
        <v>20231215</v>
      </c>
      <c r="H105" s="32" t="s">
        <v>2022</v>
      </c>
      <c r="I105" s="33" t="s">
        <v>2023</v>
      </c>
      <c r="J105" s="2" t="s">
        <v>2024</v>
      </c>
      <c r="K105" s="2" t="s">
        <v>1723</v>
      </c>
      <c r="L105" s="2" t="s">
        <v>1724</v>
      </c>
      <c r="M105" s="29">
        <v>16505</v>
      </c>
      <c r="N105" s="29">
        <v>16885</v>
      </c>
      <c r="O105" s="29">
        <v>16480</v>
      </c>
      <c r="P105" s="29">
        <v>16630</v>
      </c>
      <c r="Q105" s="29">
        <v>270</v>
      </c>
      <c r="R105" s="35">
        <v>1.65</v>
      </c>
      <c r="S105" s="29">
        <v>0.19437099999999999</v>
      </c>
      <c r="T105" s="29">
        <v>32.588339150000003</v>
      </c>
      <c r="U105" s="29">
        <v>432.38</v>
      </c>
    </row>
    <row r="106" spans="7:21">
      <c r="G106" s="32">
        <v>20231215</v>
      </c>
      <c r="H106" s="32" t="s">
        <v>2025</v>
      </c>
      <c r="I106" s="33" t="s">
        <v>2026</v>
      </c>
      <c r="J106" s="2" t="s">
        <v>2027</v>
      </c>
      <c r="K106" s="2" t="s">
        <v>1723</v>
      </c>
      <c r="L106" s="2" t="s">
        <v>1724</v>
      </c>
      <c r="M106" s="29">
        <v>6570</v>
      </c>
      <c r="N106" s="29">
        <v>6640</v>
      </c>
      <c r="O106" s="29">
        <v>6570</v>
      </c>
      <c r="P106" s="29">
        <v>6620</v>
      </c>
      <c r="Q106" s="29">
        <v>70</v>
      </c>
      <c r="R106" s="35">
        <v>1.07</v>
      </c>
      <c r="S106" s="29">
        <v>0.190555</v>
      </c>
      <c r="T106" s="29">
        <v>12.61310465</v>
      </c>
      <c r="U106" s="29">
        <v>3558.25</v>
      </c>
    </row>
    <row r="107" spans="7:21">
      <c r="G107" s="32">
        <v>20231215</v>
      </c>
      <c r="H107" s="32" t="s">
        <v>2028</v>
      </c>
      <c r="I107" s="33" t="s">
        <v>2029</v>
      </c>
      <c r="J107" s="2" t="s">
        <v>2030</v>
      </c>
      <c r="K107" s="2" t="s">
        <v>1723</v>
      </c>
      <c r="L107" s="2" t="s">
        <v>1724</v>
      </c>
      <c r="M107" s="29">
        <v>34700</v>
      </c>
      <c r="N107" s="29">
        <v>34895</v>
      </c>
      <c r="O107" s="29">
        <v>34520</v>
      </c>
      <c r="P107" s="29">
        <v>34630</v>
      </c>
      <c r="Q107" s="29">
        <v>335</v>
      </c>
      <c r="R107" s="35">
        <v>0.98</v>
      </c>
      <c r="S107" s="29">
        <v>0.19020100000000001</v>
      </c>
      <c r="T107" s="29">
        <v>65.90773695</v>
      </c>
      <c r="U107" s="29">
        <v>12068.555</v>
      </c>
    </row>
    <row r="108" spans="7:21">
      <c r="G108" s="32">
        <v>20231215</v>
      </c>
      <c r="H108" s="32" t="s">
        <v>2031</v>
      </c>
      <c r="I108" s="33" t="s">
        <v>2032</v>
      </c>
      <c r="J108" s="2" t="s">
        <v>2033</v>
      </c>
      <c r="K108" s="2" t="s">
        <v>1723</v>
      </c>
      <c r="L108" s="2" t="s">
        <v>1724</v>
      </c>
      <c r="M108" s="29">
        <v>4530</v>
      </c>
      <c r="N108" s="29">
        <v>4570</v>
      </c>
      <c r="O108" s="29">
        <v>4525</v>
      </c>
      <c r="P108" s="29">
        <v>4550</v>
      </c>
      <c r="Q108" s="29">
        <v>35</v>
      </c>
      <c r="R108" s="35">
        <v>0.78</v>
      </c>
      <c r="S108" s="29">
        <v>0.18836600000000001</v>
      </c>
      <c r="T108" s="29">
        <v>8.5815687999999994</v>
      </c>
      <c r="U108" s="29">
        <v>732.55</v>
      </c>
    </row>
    <row r="109" spans="7:21">
      <c r="G109" s="32">
        <v>20231215</v>
      </c>
      <c r="H109" s="32" t="s">
        <v>2034</v>
      </c>
      <c r="I109" s="33" t="s">
        <v>2035</v>
      </c>
      <c r="J109" s="2" t="s">
        <v>2036</v>
      </c>
      <c r="K109" s="2" t="s">
        <v>1723</v>
      </c>
      <c r="L109" s="2" t="s">
        <v>1724</v>
      </c>
      <c r="M109" s="29">
        <v>16025</v>
      </c>
      <c r="N109" s="29">
        <v>16185</v>
      </c>
      <c r="O109" s="29">
        <v>16025</v>
      </c>
      <c r="P109" s="29">
        <v>16140</v>
      </c>
      <c r="Q109" s="29">
        <v>140</v>
      </c>
      <c r="R109" s="35">
        <v>0.88</v>
      </c>
      <c r="S109" s="29">
        <v>0.18687500000000001</v>
      </c>
      <c r="T109" s="29">
        <v>30.143178500000001</v>
      </c>
      <c r="U109" s="29">
        <v>1178.22</v>
      </c>
    </row>
    <row r="110" spans="7:21">
      <c r="G110" s="32">
        <v>20231215</v>
      </c>
      <c r="H110" s="32" t="s">
        <v>2037</v>
      </c>
      <c r="I110" s="33" t="s">
        <v>2038</v>
      </c>
      <c r="J110" s="2" t="s">
        <v>2039</v>
      </c>
      <c r="K110" s="2" t="s">
        <v>1723</v>
      </c>
      <c r="L110" s="2" t="s">
        <v>1724</v>
      </c>
      <c r="M110" s="29">
        <v>9620</v>
      </c>
      <c r="N110" s="29">
        <v>9660</v>
      </c>
      <c r="O110" s="29">
        <v>9480</v>
      </c>
      <c r="P110" s="29">
        <v>9530</v>
      </c>
      <c r="Q110" s="29">
        <v>-20</v>
      </c>
      <c r="R110" s="35">
        <v>-0.21</v>
      </c>
      <c r="S110" s="29">
        <v>0.175673</v>
      </c>
      <c r="T110" s="29">
        <v>15.772436600000001</v>
      </c>
      <c r="U110" s="29">
        <v>486.03</v>
      </c>
    </row>
    <row r="111" spans="7:21">
      <c r="G111" s="32">
        <v>20231215</v>
      </c>
      <c r="H111" s="32" t="s">
        <v>2040</v>
      </c>
      <c r="I111" s="33" t="s">
        <v>2041</v>
      </c>
      <c r="J111" s="2" t="s">
        <v>2042</v>
      </c>
      <c r="K111" s="2" t="s">
        <v>1723</v>
      </c>
      <c r="L111" s="2" t="s">
        <v>1724</v>
      </c>
      <c r="M111" s="29">
        <v>11760</v>
      </c>
      <c r="N111" s="29">
        <v>12020</v>
      </c>
      <c r="O111" s="29">
        <v>11635</v>
      </c>
      <c r="P111" s="29">
        <v>11780</v>
      </c>
      <c r="Q111" s="29">
        <v>140</v>
      </c>
      <c r="R111" s="35">
        <v>1.2</v>
      </c>
      <c r="S111" s="29">
        <v>0.168571</v>
      </c>
      <c r="T111" s="29">
        <v>19.929515200000001</v>
      </c>
      <c r="U111" s="29">
        <v>518.32000000000005</v>
      </c>
    </row>
    <row r="112" spans="7:21">
      <c r="G112" s="32">
        <v>20231215</v>
      </c>
      <c r="H112" s="32" t="s">
        <v>2043</v>
      </c>
      <c r="I112" s="33" t="s">
        <v>2044</v>
      </c>
      <c r="J112" s="2" t="s">
        <v>2045</v>
      </c>
      <c r="K112" s="2" t="s">
        <v>1723</v>
      </c>
      <c r="L112" s="2" t="s">
        <v>1724</v>
      </c>
      <c r="M112" s="29">
        <v>9880</v>
      </c>
      <c r="N112" s="29">
        <v>9930</v>
      </c>
      <c r="O112" s="29">
        <v>9860</v>
      </c>
      <c r="P112" s="29">
        <v>9925</v>
      </c>
      <c r="Q112" s="29">
        <v>65</v>
      </c>
      <c r="R112" s="35">
        <v>0.66</v>
      </c>
      <c r="S112" s="29">
        <v>0.167045</v>
      </c>
      <c r="T112" s="29">
        <v>16.518468200000001</v>
      </c>
      <c r="U112" s="29">
        <v>79.400000000000006</v>
      </c>
    </row>
    <row r="113" spans="7:21">
      <c r="G113" s="32">
        <v>20231215</v>
      </c>
      <c r="H113" s="32" t="s">
        <v>2046</v>
      </c>
      <c r="I113" s="33" t="s">
        <v>2047</v>
      </c>
      <c r="J113" s="2" t="s">
        <v>2048</v>
      </c>
      <c r="K113" s="2" t="s">
        <v>1723</v>
      </c>
      <c r="L113" s="2" t="s">
        <v>1724</v>
      </c>
      <c r="M113" s="29">
        <v>51310</v>
      </c>
      <c r="N113" s="29">
        <v>51320</v>
      </c>
      <c r="O113" s="29">
        <v>51305</v>
      </c>
      <c r="P113" s="29">
        <v>51310</v>
      </c>
      <c r="Q113" s="29">
        <v>0</v>
      </c>
      <c r="R113" s="35">
        <v>0</v>
      </c>
      <c r="S113" s="29">
        <v>0.166183</v>
      </c>
      <c r="T113" s="29">
        <v>85.268314000000004</v>
      </c>
      <c r="U113" s="29">
        <v>16647.0164</v>
      </c>
    </row>
    <row r="114" spans="7:21">
      <c r="G114" s="32">
        <v>20231215</v>
      </c>
      <c r="H114" s="32" t="s">
        <v>2049</v>
      </c>
      <c r="I114" s="33" t="s">
        <v>2050</v>
      </c>
      <c r="J114" s="2" t="s">
        <v>2051</v>
      </c>
      <c r="K114" s="2" t="s">
        <v>1723</v>
      </c>
      <c r="L114" s="2" t="s">
        <v>1724</v>
      </c>
      <c r="M114" s="29">
        <v>16410</v>
      </c>
      <c r="N114" s="29">
        <v>16495</v>
      </c>
      <c r="O114" s="29">
        <v>16410</v>
      </c>
      <c r="P114" s="29">
        <v>16485</v>
      </c>
      <c r="Q114" s="29">
        <v>-95</v>
      </c>
      <c r="R114" s="35">
        <v>-0.56999999999999995</v>
      </c>
      <c r="S114" s="29">
        <v>0.16444</v>
      </c>
      <c r="T114" s="29">
        <v>27.055214200000002</v>
      </c>
      <c r="U114" s="29">
        <v>5390.5950000000003</v>
      </c>
    </row>
    <row r="115" spans="7:21">
      <c r="G115" s="32">
        <v>20231215</v>
      </c>
      <c r="H115" s="32" t="s">
        <v>2052</v>
      </c>
      <c r="I115" s="33" t="s">
        <v>2053</v>
      </c>
      <c r="J115" s="2" t="s">
        <v>2054</v>
      </c>
      <c r="K115" s="2" t="s">
        <v>1723</v>
      </c>
      <c r="L115" s="2" t="s">
        <v>1724</v>
      </c>
      <c r="M115" s="29">
        <v>9440</v>
      </c>
      <c r="N115" s="29">
        <v>9595</v>
      </c>
      <c r="O115" s="29">
        <v>9440</v>
      </c>
      <c r="P115" s="29">
        <v>9535</v>
      </c>
      <c r="Q115" s="29">
        <v>95</v>
      </c>
      <c r="R115" s="35">
        <v>1.01</v>
      </c>
      <c r="S115" s="29">
        <v>0.161912</v>
      </c>
      <c r="T115" s="29">
        <v>15.349769650000001</v>
      </c>
      <c r="U115" s="29">
        <v>147.79249999999999</v>
      </c>
    </row>
    <row r="116" spans="7:21">
      <c r="G116" s="32">
        <v>20231215</v>
      </c>
      <c r="H116" s="32" t="s">
        <v>2055</v>
      </c>
      <c r="I116" s="33" t="s">
        <v>2056</v>
      </c>
      <c r="J116" s="2" t="s">
        <v>2057</v>
      </c>
      <c r="K116" s="2" t="s">
        <v>1723</v>
      </c>
      <c r="L116" s="2" t="s">
        <v>1724</v>
      </c>
      <c r="M116" s="29">
        <v>15245</v>
      </c>
      <c r="N116" s="29">
        <v>15400</v>
      </c>
      <c r="O116" s="29">
        <v>15245</v>
      </c>
      <c r="P116" s="29">
        <v>15380</v>
      </c>
      <c r="Q116" s="29">
        <v>190</v>
      </c>
      <c r="R116" s="35">
        <v>1.25</v>
      </c>
      <c r="S116" s="29">
        <v>0.160109</v>
      </c>
      <c r="T116" s="29">
        <v>24.583209100000001</v>
      </c>
      <c r="U116" s="29">
        <v>1199.6400000000001</v>
      </c>
    </row>
    <row r="117" spans="7:21">
      <c r="G117" s="32">
        <v>20231215</v>
      </c>
      <c r="H117" s="32" t="s">
        <v>2058</v>
      </c>
      <c r="I117" s="33" t="s">
        <v>2059</v>
      </c>
      <c r="J117" s="2" t="s">
        <v>2060</v>
      </c>
      <c r="K117" s="2" t="s">
        <v>1723</v>
      </c>
      <c r="L117" s="2" t="s">
        <v>1724</v>
      </c>
      <c r="M117" s="29">
        <v>53495</v>
      </c>
      <c r="N117" s="29">
        <v>53500</v>
      </c>
      <c r="O117" s="29">
        <v>53495</v>
      </c>
      <c r="P117" s="29">
        <v>53500</v>
      </c>
      <c r="Q117" s="29">
        <v>5</v>
      </c>
      <c r="R117" s="35">
        <v>0.01</v>
      </c>
      <c r="S117" s="29">
        <v>0.15521199999999999</v>
      </c>
      <c r="T117" s="29">
        <v>83.0337064</v>
      </c>
      <c r="U117" s="29">
        <v>68317.36</v>
      </c>
    </row>
    <row r="118" spans="7:21">
      <c r="G118" s="32">
        <v>20231215</v>
      </c>
      <c r="H118" s="32" t="s">
        <v>2061</v>
      </c>
      <c r="I118" s="33" t="s">
        <v>2062</v>
      </c>
      <c r="J118" s="2" t="s">
        <v>2063</v>
      </c>
      <c r="K118" s="2" t="s">
        <v>1723</v>
      </c>
      <c r="L118" s="2" t="s">
        <v>1724</v>
      </c>
      <c r="M118" s="29">
        <v>5035</v>
      </c>
      <c r="N118" s="29">
        <v>5035</v>
      </c>
      <c r="O118" s="29">
        <v>4980</v>
      </c>
      <c r="P118" s="29">
        <v>5020</v>
      </c>
      <c r="Q118" s="29">
        <v>-30</v>
      </c>
      <c r="R118" s="35">
        <v>-0.59</v>
      </c>
      <c r="S118" s="29">
        <v>0.150814</v>
      </c>
      <c r="T118" s="29">
        <v>7.5547330500000003</v>
      </c>
      <c r="U118" s="29">
        <v>386.54</v>
      </c>
    </row>
    <row r="119" spans="7:21">
      <c r="G119" s="32">
        <v>20231215</v>
      </c>
      <c r="H119" s="32" t="s">
        <v>2064</v>
      </c>
      <c r="I119" s="33" t="s">
        <v>2065</v>
      </c>
      <c r="J119" s="2" t="s">
        <v>2066</v>
      </c>
      <c r="K119" s="2" t="s">
        <v>1723</v>
      </c>
      <c r="L119" s="2" t="s">
        <v>1724</v>
      </c>
      <c r="M119" s="29">
        <v>21350</v>
      </c>
      <c r="N119" s="29">
        <v>21380</v>
      </c>
      <c r="O119" s="29">
        <v>21095</v>
      </c>
      <c r="P119" s="29">
        <v>21380</v>
      </c>
      <c r="Q119" s="29">
        <v>180</v>
      </c>
      <c r="R119" s="35">
        <v>0.85</v>
      </c>
      <c r="S119" s="29">
        <v>0.14645900000000001</v>
      </c>
      <c r="T119" s="29">
        <v>31.055056749999999</v>
      </c>
      <c r="U119" s="29">
        <v>1913.51</v>
      </c>
    </row>
    <row r="120" spans="7:21">
      <c r="G120" s="32">
        <v>20231215</v>
      </c>
      <c r="H120" s="32" t="s">
        <v>2067</v>
      </c>
      <c r="I120" s="33" t="s">
        <v>2068</v>
      </c>
      <c r="J120" s="2" t="s">
        <v>2069</v>
      </c>
      <c r="K120" s="2" t="s">
        <v>1723</v>
      </c>
      <c r="L120" s="2" t="s">
        <v>1724</v>
      </c>
      <c r="M120" s="29">
        <v>11570</v>
      </c>
      <c r="N120" s="29">
        <v>11645</v>
      </c>
      <c r="O120" s="29">
        <v>11490</v>
      </c>
      <c r="P120" s="29">
        <v>11640</v>
      </c>
      <c r="Q120" s="29">
        <v>105</v>
      </c>
      <c r="R120" s="35">
        <v>0.91</v>
      </c>
      <c r="S120" s="29">
        <v>0.146317</v>
      </c>
      <c r="T120" s="29">
        <v>16.933003249999999</v>
      </c>
      <c r="U120" s="29">
        <v>1030.1400000000001</v>
      </c>
    </row>
    <row r="121" spans="7:21">
      <c r="G121" s="32">
        <v>20231215</v>
      </c>
      <c r="H121" s="32" t="s">
        <v>2070</v>
      </c>
      <c r="I121" s="33" t="s">
        <v>2071</v>
      </c>
      <c r="J121" s="2" t="s">
        <v>2072</v>
      </c>
      <c r="K121" s="2" t="s">
        <v>1723</v>
      </c>
      <c r="L121" s="2" t="s">
        <v>1724</v>
      </c>
      <c r="M121" s="29">
        <v>10400</v>
      </c>
      <c r="N121" s="29">
        <v>10400</v>
      </c>
      <c r="O121" s="29">
        <v>10130</v>
      </c>
      <c r="P121" s="29">
        <v>10155</v>
      </c>
      <c r="Q121" s="29">
        <v>-50</v>
      </c>
      <c r="R121" s="35">
        <v>-0.49</v>
      </c>
      <c r="S121" s="29">
        <v>0.14574000000000001</v>
      </c>
      <c r="T121" s="29">
        <v>14.93503565</v>
      </c>
      <c r="U121" s="29">
        <v>148.26300000000001</v>
      </c>
    </row>
    <row r="122" spans="7:21">
      <c r="G122" s="32">
        <v>20231215</v>
      </c>
      <c r="H122" s="32" t="s">
        <v>2073</v>
      </c>
      <c r="I122" s="33" t="s">
        <v>2074</v>
      </c>
      <c r="J122" s="2" t="s">
        <v>2075</v>
      </c>
      <c r="K122" s="2" t="s">
        <v>1723</v>
      </c>
      <c r="L122" s="2" t="s">
        <v>1724</v>
      </c>
      <c r="M122" s="29">
        <v>9930</v>
      </c>
      <c r="N122" s="29">
        <v>9930</v>
      </c>
      <c r="O122" s="29">
        <v>9860</v>
      </c>
      <c r="P122" s="29">
        <v>9895</v>
      </c>
      <c r="Q122" s="29">
        <v>-50</v>
      </c>
      <c r="R122" s="35">
        <v>-0.5</v>
      </c>
      <c r="S122" s="29">
        <v>0.14313600000000001</v>
      </c>
      <c r="T122" s="29">
        <v>14.145590350000001</v>
      </c>
      <c r="U122" s="29">
        <v>1009.29</v>
      </c>
    </row>
    <row r="123" spans="7:21">
      <c r="G123" s="32">
        <v>20231215</v>
      </c>
      <c r="H123" s="32" t="s">
        <v>2076</v>
      </c>
      <c r="I123" s="33" t="s">
        <v>2077</v>
      </c>
      <c r="J123" s="2" t="s">
        <v>2078</v>
      </c>
      <c r="K123" s="2" t="s">
        <v>1723</v>
      </c>
      <c r="L123" s="2" t="s">
        <v>1724</v>
      </c>
      <c r="M123" s="29">
        <v>10125</v>
      </c>
      <c r="N123" s="29">
        <v>10130</v>
      </c>
      <c r="O123" s="29">
        <v>10125</v>
      </c>
      <c r="P123" s="29">
        <v>10130</v>
      </c>
      <c r="Q123" s="29">
        <v>5</v>
      </c>
      <c r="R123" s="35">
        <v>0.05</v>
      </c>
      <c r="S123" s="29">
        <v>0.140455</v>
      </c>
      <c r="T123" s="29">
        <v>14.2258411</v>
      </c>
      <c r="U123" s="29">
        <v>25381.727999999999</v>
      </c>
    </row>
    <row r="124" spans="7:21">
      <c r="G124" s="32">
        <v>20231215</v>
      </c>
      <c r="H124" s="32" t="s">
        <v>2079</v>
      </c>
      <c r="I124" s="33" t="s">
        <v>2080</v>
      </c>
      <c r="J124" s="2" t="s">
        <v>2081</v>
      </c>
      <c r="K124" s="2" t="s">
        <v>1723</v>
      </c>
      <c r="L124" s="2" t="s">
        <v>1724</v>
      </c>
      <c r="M124" s="29">
        <v>12250</v>
      </c>
      <c r="N124" s="29">
        <v>12340</v>
      </c>
      <c r="O124" s="29">
        <v>12240</v>
      </c>
      <c r="P124" s="29">
        <v>12240</v>
      </c>
      <c r="Q124" s="29">
        <v>105</v>
      </c>
      <c r="R124" s="35">
        <v>0.87</v>
      </c>
      <c r="S124" s="29">
        <v>0.13830100000000001</v>
      </c>
      <c r="T124" s="29">
        <v>17.002809849999998</v>
      </c>
      <c r="U124" s="29">
        <v>2093.04</v>
      </c>
    </row>
    <row r="125" spans="7:21">
      <c r="G125" s="32">
        <v>20231215</v>
      </c>
      <c r="H125" s="32" t="s">
        <v>2082</v>
      </c>
      <c r="I125" s="33" t="s">
        <v>2083</v>
      </c>
      <c r="J125" s="2" t="s">
        <v>2084</v>
      </c>
      <c r="K125" s="2" t="s">
        <v>1723</v>
      </c>
      <c r="L125" s="2" t="s">
        <v>1724</v>
      </c>
      <c r="M125" s="29">
        <v>95590</v>
      </c>
      <c r="N125" s="29">
        <v>95915</v>
      </c>
      <c r="O125" s="29">
        <v>95365</v>
      </c>
      <c r="P125" s="29">
        <v>95870</v>
      </c>
      <c r="Q125" s="29">
        <v>-580</v>
      </c>
      <c r="R125" s="35">
        <v>-0.6</v>
      </c>
      <c r="S125" s="29">
        <v>0.13738</v>
      </c>
      <c r="T125" s="29">
        <v>131.52230155000001</v>
      </c>
      <c r="U125" s="29">
        <v>25549.355</v>
      </c>
    </row>
    <row r="126" spans="7:21">
      <c r="G126" s="32">
        <v>20231215</v>
      </c>
      <c r="H126" s="32" t="s">
        <v>2085</v>
      </c>
      <c r="I126" s="33" t="s">
        <v>2086</v>
      </c>
      <c r="J126" s="2" t="s">
        <v>2087</v>
      </c>
      <c r="K126" s="2" t="s">
        <v>1723</v>
      </c>
      <c r="L126" s="2" t="s">
        <v>1724</v>
      </c>
      <c r="M126" s="29">
        <v>15890</v>
      </c>
      <c r="N126" s="29">
        <v>15955</v>
      </c>
      <c r="O126" s="29">
        <v>15885</v>
      </c>
      <c r="P126" s="29">
        <v>15945</v>
      </c>
      <c r="Q126" s="29">
        <v>-100</v>
      </c>
      <c r="R126" s="35">
        <v>-0.62</v>
      </c>
      <c r="S126" s="29">
        <v>0.13571800000000001</v>
      </c>
      <c r="T126" s="29">
        <v>20.94059395</v>
      </c>
      <c r="U126" s="29">
        <v>2886.0450000000001</v>
      </c>
    </row>
    <row r="127" spans="7:21">
      <c r="G127" s="32">
        <v>20231215</v>
      </c>
      <c r="H127" s="32" t="s">
        <v>2088</v>
      </c>
      <c r="I127" s="33" t="s">
        <v>2089</v>
      </c>
      <c r="J127" s="2" t="s">
        <v>2090</v>
      </c>
      <c r="K127" s="2" t="s">
        <v>1723</v>
      </c>
      <c r="L127" s="2" t="s">
        <v>1724</v>
      </c>
      <c r="M127" s="29">
        <v>31305</v>
      </c>
      <c r="N127" s="29">
        <v>31370</v>
      </c>
      <c r="O127" s="29">
        <v>31260</v>
      </c>
      <c r="P127" s="29">
        <v>31300</v>
      </c>
      <c r="Q127" s="29">
        <v>-150</v>
      </c>
      <c r="R127" s="35">
        <v>-0.48</v>
      </c>
      <c r="S127" s="29">
        <v>0.13478499999999999</v>
      </c>
      <c r="T127" s="29">
        <v>42.220515499999998</v>
      </c>
      <c r="U127" s="29">
        <v>4632.3999999999996</v>
      </c>
    </row>
    <row r="128" spans="7:21">
      <c r="G128" s="32">
        <v>20231215</v>
      </c>
      <c r="H128" s="32" t="s">
        <v>2091</v>
      </c>
      <c r="I128" s="33" t="s">
        <v>2092</v>
      </c>
      <c r="J128" s="2" t="s">
        <v>2093</v>
      </c>
      <c r="K128" s="2" t="s">
        <v>1723</v>
      </c>
      <c r="L128" s="2" t="s">
        <v>1724</v>
      </c>
      <c r="M128" s="29">
        <v>7050</v>
      </c>
      <c r="N128" s="29">
        <v>7260</v>
      </c>
      <c r="O128" s="29">
        <v>7050</v>
      </c>
      <c r="P128" s="29">
        <v>7215</v>
      </c>
      <c r="Q128" s="29">
        <v>205</v>
      </c>
      <c r="R128" s="35">
        <v>2.92</v>
      </c>
      <c r="S128" s="29">
        <v>0.13033700000000001</v>
      </c>
      <c r="T128" s="29">
        <v>9.3792980499999992</v>
      </c>
      <c r="U128" s="29">
        <v>3434.34</v>
      </c>
    </row>
    <row r="129" spans="7:21">
      <c r="G129" s="32">
        <v>20231215</v>
      </c>
      <c r="H129" s="32" t="s">
        <v>2094</v>
      </c>
      <c r="I129" s="33" t="s">
        <v>2095</v>
      </c>
      <c r="J129" s="2" t="s">
        <v>2096</v>
      </c>
      <c r="K129" s="2" t="s">
        <v>1723</v>
      </c>
      <c r="L129" s="2" t="s">
        <v>1724</v>
      </c>
      <c r="M129" s="29">
        <v>17080</v>
      </c>
      <c r="N129" s="29">
        <v>17100</v>
      </c>
      <c r="O129" s="29">
        <v>16835</v>
      </c>
      <c r="P129" s="29">
        <v>16865</v>
      </c>
      <c r="Q129" s="29">
        <v>-175</v>
      </c>
      <c r="R129" s="35">
        <v>-1.03</v>
      </c>
      <c r="S129" s="29">
        <v>0.12411</v>
      </c>
      <c r="T129" s="29">
        <v>21.031386399999999</v>
      </c>
      <c r="U129" s="29">
        <v>2563.48</v>
      </c>
    </row>
    <row r="130" spans="7:21">
      <c r="G130" s="32">
        <v>20231215</v>
      </c>
      <c r="H130" s="32" t="s">
        <v>2097</v>
      </c>
      <c r="I130" s="33" t="s">
        <v>2098</v>
      </c>
      <c r="J130" s="2" t="s">
        <v>2099</v>
      </c>
      <c r="K130" s="2" t="s">
        <v>1723</v>
      </c>
      <c r="L130" s="2" t="s">
        <v>1724</v>
      </c>
      <c r="M130" s="29">
        <v>32165</v>
      </c>
      <c r="N130" s="29">
        <v>32320</v>
      </c>
      <c r="O130" s="29">
        <v>32070</v>
      </c>
      <c r="P130" s="29">
        <v>32300</v>
      </c>
      <c r="Q130" s="29">
        <v>320</v>
      </c>
      <c r="R130" s="35">
        <v>1</v>
      </c>
      <c r="S130" s="29">
        <v>0.121115</v>
      </c>
      <c r="T130" s="29">
        <v>38.695439350000001</v>
      </c>
      <c r="U130" s="29">
        <v>8184.82</v>
      </c>
    </row>
    <row r="131" spans="7:21">
      <c r="G131" s="32">
        <v>20231215</v>
      </c>
      <c r="H131" s="32" t="s">
        <v>2100</v>
      </c>
      <c r="I131" s="33" t="s">
        <v>2101</v>
      </c>
      <c r="J131" s="2" t="s">
        <v>2102</v>
      </c>
      <c r="K131" s="2" t="s">
        <v>1723</v>
      </c>
      <c r="L131" s="2" t="s">
        <v>1724</v>
      </c>
      <c r="M131" s="29">
        <v>13610</v>
      </c>
      <c r="N131" s="29">
        <v>13725</v>
      </c>
      <c r="O131" s="29">
        <v>13605</v>
      </c>
      <c r="P131" s="29">
        <v>13705</v>
      </c>
      <c r="Q131" s="29">
        <v>-220</v>
      </c>
      <c r="R131" s="35">
        <v>-1.58</v>
      </c>
      <c r="S131" s="29">
        <v>0.120575</v>
      </c>
      <c r="T131" s="29">
        <v>16.493709549999998</v>
      </c>
      <c r="U131" s="29">
        <v>424.85500000000002</v>
      </c>
    </row>
    <row r="132" spans="7:21">
      <c r="G132" s="32">
        <v>20231215</v>
      </c>
      <c r="H132" s="32" t="s">
        <v>2103</v>
      </c>
      <c r="I132" s="33" t="s">
        <v>2104</v>
      </c>
      <c r="J132" s="2" t="s">
        <v>2105</v>
      </c>
      <c r="K132" s="2" t="s">
        <v>1723</v>
      </c>
      <c r="L132" s="2" t="s">
        <v>1724</v>
      </c>
      <c r="M132" s="29">
        <v>4710</v>
      </c>
      <c r="N132" s="29">
        <v>4710</v>
      </c>
      <c r="O132" s="29">
        <v>4500</v>
      </c>
      <c r="P132" s="29">
        <v>4505</v>
      </c>
      <c r="Q132" s="29">
        <v>-65</v>
      </c>
      <c r="R132" s="35">
        <v>-1.42</v>
      </c>
      <c r="S132" s="29">
        <v>0.120168</v>
      </c>
      <c r="T132" s="29">
        <v>5.4699532499999997</v>
      </c>
      <c r="U132" s="29">
        <v>301.83499999999998</v>
      </c>
    </row>
    <row r="133" spans="7:21">
      <c r="G133" s="32">
        <v>20231215</v>
      </c>
      <c r="H133" s="32" t="s">
        <v>2106</v>
      </c>
      <c r="I133" s="33" t="s">
        <v>2107</v>
      </c>
      <c r="J133" s="2" t="s">
        <v>2108</v>
      </c>
      <c r="K133" s="2" t="s">
        <v>1723</v>
      </c>
      <c r="L133" s="2" t="s">
        <v>1724</v>
      </c>
      <c r="M133" s="29">
        <v>13325</v>
      </c>
      <c r="N133" s="29">
        <v>13355</v>
      </c>
      <c r="O133" s="29">
        <v>13320</v>
      </c>
      <c r="P133" s="29">
        <v>13355</v>
      </c>
      <c r="Q133" s="29">
        <v>-80</v>
      </c>
      <c r="R133" s="35">
        <v>-0.6</v>
      </c>
      <c r="S133" s="29">
        <v>0.115053</v>
      </c>
      <c r="T133" s="29">
        <v>15.34389395</v>
      </c>
      <c r="U133" s="29">
        <v>1282.08</v>
      </c>
    </row>
    <row r="134" spans="7:21">
      <c r="G134" s="32">
        <v>20231215</v>
      </c>
      <c r="H134" s="32" t="s">
        <v>2109</v>
      </c>
      <c r="I134" s="33" t="s">
        <v>2110</v>
      </c>
      <c r="J134" s="2" t="s">
        <v>2111</v>
      </c>
      <c r="K134" s="2" t="s">
        <v>1723</v>
      </c>
      <c r="L134" s="2" t="s">
        <v>1724</v>
      </c>
      <c r="M134" s="29">
        <v>7665</v>
      </c>
      <c r="N134" s="29">
        <v>7710</v>
      </c>
      <c r="O134" s="29">
        <v>7615</v>
      </c>
      <c r="P134" s="29">
        <v>7700</v>
      </c>
      <c r="Q134" s="29">
        <v>35</v>
      </c>
      <c r="R134" s="35">
        <v>0.46</v>
      </c>
      <c r="S134" s="29">
        <v>0.11466</v>
      </c>
      <c r="T134" s="29">
        <v>8.8014776000000001</v>
      </c>
      <c r="U134" s="29">
        <v>1270.5</v>
      </c>
    </row>
    <row r="135" spans="7:21">
      <c r="G135" s="32">
        <v>20231215</v>
      </c>
      <c r="H135" s="32" t="s">
        <v>2112</v>
      </c>
      <c r="I135" s="33" t="s">
        <v>2113</v>
      </c>
      <c r="J135" s="2" t="s">
        <v>2114</v>
      </c>
      <c r="K135" s="2" t="s">
        <v>1723</v>
      </c>
      <c r="L135" s="2" t="s">
        <v>1724</v>
      </c>
      <c r="M135" s="29">
        <v>105225</v>
      </c>
      <c r="N135" s="29">
        <v>105235</v>
      </c>
      <c r="O135" s="29">
        <v>105075</v>
      </c>
      <c r="P135" s="29">
        <v>105160</v>
      </c>
      <c r="Q135" s="29">
        <v>-85</v>
      </c>
      <c r="R135" s="35">
        <v>-0.08</v>
      </c>
      <c r="S135" s="29">
        <v>0.11379</v>
      </c>
      <c r="T135" s="29">
        <v>119.6950647</v>
      </c>
      <c r="U135" s="29">
        <v>977.98800000000006</v>
      </c>
    </row>
    <row r="136" spans="7:21">
      <c r="G136" s="32">
        <v>20231215</v>
      </c>
      <c r="H136" s="32" t="s">
        <v>2115</v>
      </c>
      <c r="I136" s="33" t="s">
        <v>2116</v>
      </c>
      <c r="J136" s="2" t="s">
        <v>2117</v>
      </c>
      <c r="K136" s="2" t="s">
        <v>1723</v>
      </c>
      <c r="L136" s="2" t="s">
        <v>1724</v>
      </c>
      <c r="M136" s="29">
        <v>9415</v>
      </c>
      <c r="N136" s="29">
        <v>9450</v>
      </c>
      <c r="O136" s="29">
        <v>9165</v>
      </c>
      <c r="P136" s="29">
        <v>9185</v>
      </c>
      <c r="Q136" s="29">
        <v>-245</v>
      </c>
      <c r="R136" s="35">
        <v>-2.6</v>
      </c>
      <c r="S136" s="29">
        <v>0.113093</v>
      </c>
      <c r="T136" s="29">
        <v>10.5497324</v>
      </c>
      <c r="U136" s="29">
        <v>146.96</v>
      </c>
    </row>
    <row r="137" spans="7:21">
      <c r="G137" s="32">
        <v>20231215</v>
      </c>
      <c r="H137" s="32" t="s">
        <v>2118</v>
      </c>
      <c r="I137" s="33" t="s">
        <v>2119</v>
      </c>
      <c r="J137" s="2" t="s">
        <v>2120</v>
      </c>
      <c r="K137" s="2" t="s">
        <v>1723</v>
      </c>
      <c r="L137" s="2" t="s">
        <v>1724</v>
      </c>
      <c r="M137" s="29">
        <v>10605</v>
      </c>
      <c r="N137" s="29">
        <v>10605</v>
      </c>
      <c r="O137" s="29">
        <v>10260</v>
      </c>
      <c r="P137" s="29">
        <v>10370</v>
      </c>
      <c r="Q137" s="29">
        <v>5</v>
      </c>
      <c r="R137" s="35">
        <v>0.05</v>
      </c>
      <c r="S137" s="29">
        <v>0.112328</v>
      </c>
      <c r="T137" s="29">
        <v>11.643691199999999</v>
      </c>
      <c r="U137" s="29">
        <v>82.96</v>
      </c>
    </row>
    <row r="138" spans="7:21">
      <c r="G138" s="32">
        <v>20231215</v>
      </c>
      <c r="H138" s="32" t="s">
        <v>2121</v>
      </c>
      <c r="I138" s="33" t="s">
        <v>2122</v>
      </c>
      <c r="J138" s="2" t="s">
        <v>2123</v>
      </c>
      <c r="K138" s="2" t="s">
        <v>1723</v>
      </c>
      <c r="L138" s="2" t="s">
        <v>1724</v>
      </c>
      <c r="M138" s="29">
        <v>11455</v>
      </c>
      <c r="N138" s="29">
        <v>11470</v>
      </c>
      <c r="O138" s="29">
        <v>11425</v>
      </c>
      <c r="P138" s="29">
        <v>11465</v>
      </c>
      <c r="Q138" s="29">
        <v>10</v>
      </c>
      <c r="R138" s="35">
        <v>0.09</v>
      </c>
      <c r="S138" s="29">
        <v>0.112326</v>
      </c>
      <c r="T138" s="29">
        <v>12.858515300000001</v>
      </c>
      <c r="U138" s="29">
        <v>1180.895</v>
      </c>
    </row>
    <row r="139" spans="7:21">
      <c r="G139" s="32">
        <v>20231215</v>
      </c>
      <c r="H139" s="32" t="s">
        <v>2124</v>
      </c>
      <c r="I139" s="33" t="s">
        <v>2125</v>
      </c>
      <c r="J139" s="2" t="s">
        <v>2126</v>
      </c>
      <c r="K139" s="2" t="s">
        <v>1723</v>
      </c>
      <c r="L139" s="2" t="s">
        <v>1724</v>
      </c>
      <c r="M139" s="29">
        <v>2470</v>
      </c>
      <c r="N139" s="29">
        <v>2470</v>
      </c>
      <c r="O139" s="29">
        <v>2410</v>
      </c>
      <c r="P139" s="29">
        <v>2450</v>
      </c>
      <c r="Q139" s="29">
        <v>-55</v>
      </c>
      <c r="R139" s="35">
        <v>-2.2000000000000002</v>
      </c>
      <c r="S139" s="29">
        <v>0.111526</v>
      </c>
      <c r="T139" s="29">
        <v>2.7049769000000001</v>
      </c>
      <c r="U139" s="29">
        <v>67.375</v>
      </c>
    </row>
    <row r="140" spans="7:21">
      <c r="G140" s="32">
        <v>20231215</v>
      </c>
      <c r="H140" s="32" t="s">
        <v>2127</v>
      </c>
      <c r="I140" s="33" t="s">
        <v>2128</v>
      </c>
      <c r="J140" s="2" t="s">
        <v>2129</v>
      </c>
      <c r="K140" s="2" t="s">
        <v>1723</v>
      </c>
      <c r="L140" s="2" t="s">
        <v>1724</v>
      </c>
      <c r="M140" s="29">
        <v>11665</v>
      </c>
      <c r="N140" s="29">
        <v>11865</v>
      </c>
      <c r="O140" s="29">
        <v>11480</v>
      </c>
      <c r="P140" s="29">
        <v>11610</v>
      </c>
      <c r="Q140" s="29">
        <v>25</v>
      </c>
      <c r="R140" s="35">
        <v>0.22</v>
      </c>
      <c r="S140" s="29">
        <v>0.111315</v>
      </c>
      <c r="T140" s="29">
        <v>13.0501302</v>
      </c>
      <c r="U140" s="29">
        <v>1021.68</v>
      </c>
    </row>
    <row r="141" spans="7:21">
      <c r="G141" s="32">
        <v>20231215</v>
      </c>
      <c r="H141" s="32" t="s">
        <v>2130</v>
      </c>
      <c r="I141" s="33" t="s">
        <v>2131</v>
      </c>
      <c r="J141" s="2" t="s">
        <v>2132</v>
      </c>
      <c r="K141" s="2" t="s">
        <v>1723</v>
      </c>
      <c r="L141" s="2" t="s">
        <v>1724</v>
      </c>
      <c r="M141" s="29">
        <v>9800</v>
      </c>
      <c r="N141" s="29">
        <v>9825</v>
      </c>
      <c r="O141" s="29">
        <v>9630</v>
      </c>
      <c r="P141" s="29">
        <v>9650</v>
      </c>
      <c r="Q141" s="29">
        <v>-150</v>
      </c>
      <c r="R141" s="35">
        <v>-1.53</v>
      </c>
      <c r="S141" s="29">
        <v>0.11108899999999999</v>
      </c>
      <c r="T141" s="29">
        <v>10.764715900000001</v>
      </c>
      <c r="U141" s="29">
        <v>1075.9749999999999</v>
      </c>
    </row>
    <row r="142" spans="7:21">
      <c r="G142" s="32">
        <v>20231215</v>
      </c>
      <c r="H142" s="32" t="s">
        <v>2133</v>
      </c>
      <c r="I142" s="33" t="s">
        <v>2134</v>
      </c>
      <c r="J142" s="2" t="s">
        <v>2135</v>
      </c>
      <c r="K142" s="2" t="s">
        <v>1723</v>
      </c>
      <c r="L142" s="2" t="s">
        <v>1724</v>
      </c>
      <c r="M142" s="29">
        <v>12165</v>
      </c>
      <c r="N142" s="29">
        <v>12165</v>
      </c>
      <c r="O142" s="29">
        <v>12095</v>
      </c>
      <c r="P142" s="29">
        <v>12150</v>
      </c>
      <c r="Q142" s="29">
        <v>5</v>
      </c>
      <c r="R142" s="35">
        <v>0.04</v>
      </c>
      <c r="S142" s="29">
        <v>0.110078</v>
      </c>
      <c r="T142" s="29">
        <v>13.3472787</v>
      </c>
      <c r="U142" s="29">
        <v>1032.75</v>
      </c>
    </row>
    <row r="143" spans="7:21">
      <c r="G143" s="32">
        <v>20231215</v>
      </c>
      <c r="H143" s="32" t="s">
        <v>2136</v>
      </c>
      <c r="I143" s="33" t="s">
        <v>2137</v>
      </c>
      <c r="J143" s="2" t="s">
        <v>2138</v>
      </c>
      <c r="K143" s="2" t="s">
        <v>1723</v>
      </c>
      <c r="L143" s="2" t="s">
        <v>1724</v>
      </c>
      <c r="M143" s="29">
        <v>13615</v>
      </c>
      <c r="N143" s="29">
        <v>13625</v>
      </c>
      <c r="O143" s="29">
        <v>13580</v>
      </c>
      <c r="P143" s="29">
        <v>13620</v>
      </c>
      <c r="Q143" s="29">
        <v>-85</v>
      </c>
      <c r="R143" s="35">
        <v>-0.62</v>
      </c>
      <c r="S143" s="29">
        <v>0.109096</v>
      </c>
      <c r="T143" s="29">
        <v>14.839400149999999</v>
      </c>
      <c r="U143" s="29">
        <v>1007.88</v>
      </c>
    </row>
    <row r="144" spans="7:21">
      <c r="G144" s="32">
        <v>20231215</v>
      </c>
      <c r="H144" s="32" t="s">
        <v>2139</v>
      </c>
      <c r="I144" s="33" t="s">
        <v>2140</v>
      </c>
      <c r="J144" s="2" t="s">
        <v>2141</v>
      </c>
      <c r="K144" s="2" t="s">
        <v>1723</v>
      </c>
      <c r="L144" s="2" t="s">
        <v>1724</v>
      </c>
      <c r="M144" s="29">
        <v>11260</v>
      </c>
      <c r="N144" s="29">
        <v>11400</v>
      </c>
      <c r="O144" s="29">
        <v>11240</v>
      </c>
      <c r="P144" s="29">
        <v>11350</v>
      </c>
      <c r="Q144" s="29">
        <v>95</v>
      </c>
      <c r="R144" s="35">
        <v>0.84</v>
      </c>
      <c r="S144" s="29">
        <v>0.108151</v>
      </c>
      <c r="T144" s="29">
        <v>12.23702995</v>
      </c>
      <c r="U144" s="29">
        <v>1713.85</v>
      </c>
    </row>
    <row r="145" spans="7:21">
      <c r="G145" s="32">
        <v>20231215</v>
      </c>
      <c r="H145" s="32" t="s">
        <v>2142</v>
      </c>
      <c r="I145" s="33" t="s">
        <v>2143</v>
      </c>
      <c r="J145" s="2" t="s">
        <v>2144</v>
      </c>
      <c r="K145" s="2" t="s">
        <v>1723</v>
      </c>
      <c r="L145" s="2" t="s">
        <v>1724</v>
      </c>
      <c r="M145" s="29">
        <v>73325</v>
      </c>
      <c r="N145" s="29">
        <v>73400</v>
      </c>
      <c r="O145" s="29">
        <v>72490</v>
      </c>
      <c r="P145" s="29">
        <v>72490</v>
      </c>
      <c r="Q145" s="29">
        <v>-600</v>
      </c>
      <c r="R145" s="35">
        <v>-0.82</v>
      </c>
      <c r="S145" s="29">
        <v>0.10771799999999999</v>
      </c>
      <c r="T145" s="29">
        <v>78.531955699999997</v>
      </c>
      <c r="U145" s="29">
        <v>3907.2109999999998</v>
      </c>
    </row>
    <row r="146" spans="7:21">
      <c r="G146" s="32">
        <v>20231215</v>
      </c>
      <c r="H146" s="32" t="s">
        <v>2145</v>
      </c>
      <c r="I146" s="33" t="s">
        <v>2146</v>
      </c>
      <c r="J146" s="2" t="s">
        <v>2147</v>
      </c>
      <c r="K146" s="2" t="s">
        <v>1723</v>
      </c>
      <c r="L146" s="2" t="s">
        <v>1724</v>
      </c>
      <c r="M146" s="29">
        <v>12170</v>
      </c>
      <c r="N146" s="29">
        <v>12240</v>
      </c>
      <c r="O146" s="29">
        <v>12170</v>
      </c>
      <c r="P146" s="29">
        <v>12210</v>
      </c>
      <c r="Q146" s="29">
        <v>65</v>
      </c>
      <c r="R146" s="35">
        <v>0.54</v>
      </c>
      <c r="S146" s="29">
        <v>0.103892</v>
      </c>
      <c r="T146" s="29">
        <v>12.5199449</v>
      </c>
      <c r="U146" s="29">
        <v>2007.3240000000001</v>
      </c>
    </row>
    <row r="147" spans="7:21">
      <c r="G147" s="32">
        <v>20231215</v>
      </c>
      <c r="H147" s="32" t="s">
        <v>2148</v>
      </c>
      <c r="I147" s="33" t="s">
        <v>2149</v>
      </c>
      <c r="J147" s="2" t="s">
        <v>2150</v>
      </c>
      <c r="K147" s="2" t="s">
        <v>1723</v>
      </c>
      <c r="L147" s="2" t="s">
        <v>1724</v>
      </c>
      <c r="M147" s="29">
        <v>3745</v>
      </c>
      <c r="N147" s="29">
        <v>3745</v>
      </c>
      <c r="O147" s="29">
        <v>3710</v>
      </c>
      <c r="P147" s="29">
        <v>3730</v>
      </c>
      <c r="Q147" s="29">
        <v>0</v>
      </c>
      <c r="R147" s="35">
        <v>0</v>
      </c>
      <c r="S147" s="29">
        <v>0.103409</v>
      </c>
      <c r="T147" s="29">
        <v>3.8524448499999999</v>
      </c>
      <c r="U147" s="29">
        <v>397.245</v>
      </c>
    </row>
    <row r="148" spans="7:21">
      <c r="G148" s="32">
        <v>20231215</v>
      </c>
      <c r="H148" s="32" t="s">
        <v>2151</v>
      </c>
      <c r="I148" s="33" t="s">
        <v>2152</v>
      </c>
      <c r="J148" s="2" t="s">
        <v>2153</v>
      </c>
      <c r="K148" s="2" t="s">
        <v>1723</v>
      </c>
      <c r="L148" s="2" t="s">
        <v>1724</v>
      </c>
      <c r="M148" s="29">
        <v>11840</v>
      </c>
      <c r="N148" s="29">
        <v>12030</v>
      </c>
      <c r="O148" s="29">
        <v>11840</v>
      </c>
      <c r="P148" s="29">
        <v>11935</v>
      </c>
      <c r="Q148" s="29">
        <v>95</v>
      </c>
      <c r="R148" s="35">
        <v>0.8</v>
      </c>
      <c r="S148" s="29">
        <v>0.100725</v>
      </c>
      <c r="T148" s="29">
        <v>12.042592600000001</v>
      </c>
      <c r="U148" s="29">
        <v>572.88</v>
      </c>
    </row>
    <row r="149" spans="7:21">
      <c r="G149" s="32">
        <v>20231215</v>
      </c>
      <c r="H149" s="32" t="s">
        <v>2154</v>
      </c>
      <c r="I149" s="33" t="s">
        <v>2155</v>
      </c>
      <c r="J149" s="2" t="s">
        <v>2156</v>
      </c>
      <c r="K149" s="2" t="s">
        <v>1723</v>
      </c>
      <c r="L149" s="2" t="s">
        <v>1724</v>
      </c>
      <c r="M149" s="29">
        <v>8100</v>
      </c>
      <c r="N149" s="29">
        <v>8100</v>
      </c>
      <c r="O149" s="29">
        <v>7995</v>
      </c>
      <c r="P149" s="29">
        <v>8015</v>
      </c>
      <c r="Q149" s="29">
        <v>-85</v>
      </c>
      <c r="R149" s="35">
        <v>-1.05</v>
      </c>
      <c r="S149" s="29">
        <v>0.10031</v>
      </c>
      <c r="T149" s="29">
        <v>8.05991195</v>
      </c>
      <c r="U149" s="29">
        <v>160.30000000000001</v>
      </c>
    </row>
    <row r="150" spans="7:21">
      <c r="G150" s="32">
        <v>20231215</v>
      </c>
      <c r="H150" s="32" t="s">
        <v>2157</v>
      </c>
      <c r="I150" s="33" t="s">
        <v>2158</v>
      </c>
      <c r="J150" s="2" t="s">
        <v>2159</v>
      </c>
      <c r="K150" s="2" t="s">
        <v>1723</v>
      </c>
      <c r="L150" s="2" t="s">
        <v>1724</v>
      </c>
      <c r="M150" s="29">
        <v>12905</v>
      </c>
      <c r="N150" s="29">
        <v>12920</v>
      </c>
      <c r="O150" s="29">
        <v>12875</v>
      </c>
      <c r="P150" s="29">
        <v>12910</v>
      </c>
      <c r="Q150" s="29">
        <v>5</v>
      </c>
      <c r="R150" s="35">
        <v>0.04</v>
      </c>
      <c r="S150" s="29">
        <v>9.8071000000000005E-2</v>
      </c>
      <c r="T150" s="29">
        <v>12.645826</v>
      </c>
      <c r="U150" s="29">
        <v>1717.03</v>
      </c>
    </row>
    <row r="151" spans="7:21">
      <c r="G151" s="32">
        <v>20231215</v>
      </c>
      <c r="H151" s="32" t="s">
        <v>2160</v>
      </c>
      <c r="I151" s="33" t="s">
        <v>2161</v>
      </c>
      <c r="J151" s="2" t="s">
        <v>2162</v>
      </c>
      <c r="K151" s="2" t="s">
        <v>1723</v>
      </c>
      <c r="L151" s="2" t="s">
        <v>1724</v>
      </c>
      <c r="M151" s="29">
        <v>10330</v>
      </c>
      <c r="N151" s="29">
        <v>10330</v>
      </c>
      <c r="O151" s="29">
        <v>10320</v>
      </c>
      <c r="P151" s="29">
        <v>10325</v>
      </c>
      <c r="Q151" s="29">
        <v>10</v>
      </c>
      <c r="R151" s="35">
        <v>0.1</v>
      </c>
      <c r="S151" s="29">
        <v>9.6380999999999994E-2</v>
      </c>
      <c r="T151" s="29">
        <v>9.9518318499999996</v>
      </c>
      <c r="U151" s="29">
        <v>1064.5074999999999</v>
      </c>
    </row>
    <row r="152" spans="7:21">
      <c r="G152" s="32">
        <v>20231215</v>
      </c>
      <c r="H152" s="32" t="s">
        <v>2163</v>
      </c>
      <c r="I152" s="33" t="s">
        <v>2164</v>
      </c>
      <c r="J152" s="2" t="s">
        <v>2165</v>
      </c>
      <c r="K152" s="2" t="s">
        <v>1723</v>
      </c>
      <c r="L152" s="2" t="s">
        <v>1724</v>
      </c>
      <c r="M152" s="29">
        <v>3350</v>
      </c>
      <c r="N152" s="29">
        <v>3385</v>
      </c>
      <c r="O152" s="29">
        <v>3350</v>
      </c>
      <c r="P152" s="29">
        <v>3370</v>
      </c>
      <c r="Q152" s="29">
        <v>20</v>
      </c>
      <c r="R152" s="35">
        <v>0.6</v>
      </c>
      <c r="S152" s="29">
        <v>9.4939999999999997E-2</v>
      </c>
      <c r="T152" s="29">
        <v>3.19781125</v>
      </c>
      <c r="U152" s="29">
        <v>239.27</v>
      </c>
    </row>
    <row r="153" spans="7:21">
      <c r="G153" s="32">
        <v>20231215</v>
      </c>
      <c r="H153" s="32" t="s">
        <v>2166</v>
      </c>
      <c r="I153" s="33" t="s">
        <v>2167</v>
      </c>
      <c r="J153" s="2" t="s">
        <v>2168</v>
      </c>
      <c r="K153" s="2" t="s">
        <v>1723</v>
      </c>
      <c r="L153" s="2" t="s">
        <v>1724</v>
      </c>
      <c r="M153" s="29">
        <v>50850</v>
      </c>
      <c r="N153" s="29">
        <v>50995</v>
      </c>
      <c r="O153" s="29">
        <v>50190</v>
      </c>
      <c r="P153" s="29">
        <v>50190</v>
      </c>
      <c r="Q153" s="29">
        <v>-580</v>
      </c>
      <c r="R153" s="35">
        <v>-1.1399999999999999</v>
      </c>
      <c r="S153" s="29">
        <v>9.2564999999999995E-2</v>
      </c>
      <c r="T153" s="29">
        <v>46.789214450000003</v>
      </c>
      <c r="U153" s="29">
        <v>1750.6271999999999</v>
      </c>
    </row>
    <row r="154" spans="7:21">
      <c r="G154" s="32">
        <v>20231215</v>
      </c>
      <c r="H154" s="32" t="s">
        <v>2169</v>
      </c>
      <c r="I154" s="33" t="s">
        <v>2170</v>
      </c>
      <c r="J154" s="2" t="s">
        <v>2171</v>
      </c>
      <c r="K154" s="2" t="s">
        <v>1723</v>
      </c>
      <c r="L154" s="2" t="s">
        <v>1724</v>
      </c>
      <c r="M154" s="29">
        <v>11475</v>
      </c>
      <c r="N154" s="29">
        <v>11490</v>
      </c>
      <c r="O154" s="29">
        <v>11445</v>
      </c>
      <c r="P154" s="29">
        <v>11490</v>
      </c>
      <c r="Q154" s="29">
        <v>5</v>
      </c>
      <c r="R154" s="35">
        <v>0.04</v>
      </c>
      <c r="S154" s="29">
        <v>9.1801999999999995E-2</v>
      </c>
      <c r="T154" s="29">
        <v>10.52974</v>
      </c>
      <c r="U154" s="29">
        <v>1608.6</v>
      </c>
    </row>
    <row r="155" spans="7:21">
      <c r="G155" s="32">
        <v>20231215</v>
      </c>
      <c r="H155" s="32" t="s">
        <v>2172</v>
      </c>
      <c r="I155" s="33" t="s">
        <v>2173</v>
      </c>
      <c r="J155" s="2" t="s">
        <v>2174</v>
      </c>
      <c r="K155" s="2" t="s">
        <v>1723</v>
      </c>
      <c r="L155" s="2" t="s">
        <v>1724</v>
      </c>
      <c r="M155" s="29">
        <v>12430</v>
      </c>
      <c r="N155" s="29">
        <v>12560</v>
      </c>
      <c r="O155" s="29">
        <v>12430</v>
      </c>
      <c r="P155" s="29">
        <v>12545</v>
      </c>
      <c r="Q155" s="29">
        <v>20</v>
      </c>
      <c r="R155" s="35">
        <v>0.16</v>
      </c>
      <c r="S155" s="29">
        <v>8.8645000000000002E-2</v>
      </c>
      <c r="T155" s="29">
        <v>11.08610285</v>
      </c>
      <c r="U155" s="29">
        <v>293.553</v>
      </c>
    </row>
    <row r="156" spans="7:21">
      <c r="G156" s="32">
        <v>20231215</v>
      </c>
      <c r="H156" s="32" t="s">
        <v>2175</v>
      </c>
      <c r="I156" s="33" t="s">
        <v>2176</v>
      </c>
      <c r="J156" s="2" t="s">
        <v>2177</v>
      </c>
      <c r="K156" s="2" t="s">
        <v>1723</v>
      </c>
      <c r="L156" s="2" t="s">
        <v>1724</v>
      </c>
      <c r="M156" s="29">
        <v>34805</v>
      </c>
      <c r="N156" s="29">
        <v>35275</v>
      </c>
      <c r="O156" s="29">
        <v>34805</v>
      </c>
      <c r="P156" s="29">
        <v>34970</v>
      </c>
      <c r="Q156" s="29">
        <v>200</v>
      </c>
      <c r="R156" s="35">
        <v>0.57999999999999996</v>
      </c>
      <c r="S156" s="29">
        <v>8.8575000000000001E-2</v>
      </c>
      <c r="T156" s="29">
        <v>31.04890705</v>
      </c>
      <c r="U156" s="29">
        <v>6207.1750000000002</v>
      </c>
    </row>
    <row r="157" spans="7:21">
      <c r="G157" s="32">
        <v>20231215</v>
      </c>
      <c r="H157" s="32" t="s">
        <v>2178</v>
      </c>
      <c r="I157" s="33" t="s">
        <v>2179</v>
      </c>
      <c r="J157" s="2" t="s">
        <v>2180</v>
      </c>
      <c r="K157" s="2" t="s">
        <v>1723</v>
      </c>
      <c r="L157" s="2" t="s">
        <v>1724</v>
      </c>
      <c r="M157" s="29">
        <v>11490</v>
      </c>
      <c r="N157" s="29">
        <v>11560</v>
      </c>
      <c r="O157" s="29">
        <v>11490</v>
      </c>
      <c r="P157" s="29">
        <v>11545</v>
      </c>
      <c r="Q157" s="29">
        <v>15</v>
      </c>
      <c r="R157" s="35">
        <v>0.13</v>
      </c>
      <c r="S157" s="29">
        <v>8.5385000000000003E-2</v>
      </c>
      <c r="T157" s="29">
        <v>9.8420825000000001</v>
      </c>
      <c r="U157" s="29">
        <v>5496.5744999999997</v>
      </c>
    </row>
    <row r="158" spans="7:21">
      <c r="G158" s="32">
        <v>20231215</v>
      </c>
      <c r="H158" s="32" t="s">
        <v>2181</v>
      </c>
      <c r="I158" s="33" t="s">
        <v>2182</v>
      </c>
      <c r="J158" s="2" t="s">
        <v>2183</v>
      </c>
      <c r="K158" s="2" t="s">
        <v>1723</v>
      </c>
      <c r="L158" s="2" t="s">
        <v>1724</v>
      </c>
      <c r="M158" s="29">
        <v>12370</v>
      </c>
      <c r="N158" s="29">
        <v>12500</v>
      </c>
      <c r="O158" s="29">
        <v>12135</v>
      </c>
      <c r="P158" s="29">
        <v>12435</v>
      </c>
      <c r="Q158" s="29">
        <v>365</v>
      </c>
      <c r="R158" s="35">
        <v>3.02</v>
      </c>
      <c r="S158" s="29">
        <v>8.1949999999999995E-2</v>
      </c>
      <c r="T158" s="29">
        <v>10.161909</v>
      </c>
      <c r="U158" s="29">
        <v>223.83</v>
      </c>
    </row>
    <row r="159" spans="7:21">
      <c r="G159" s="32">
        <v>20231215</v>
      </c>
      <c r="H159" s="32" t="s">
        <v>2184</v>
      </c>
      <c r="I159" s="33" t="s">
        <v>2185</v>
      </c>
      <c r="J159" s="2" t="s">
        <v>2186</v>
      </c>
      <c r="K159" s="2" t="s">
        <v>1723</v>
      </c>
      <c r="L159" s="2" t="s">
        <v>1724</v>
      </c>
      <c r="M159" s="29">
        <v>7925</v>
      </c>
      <c r="N159" s="29">
        <v>8080</v>
      </c>
      <c r="O159" s="29">
        <v>7925</v>
      </c>
      <c r="P159" s="29">
        <v>7995</v>
      </c>
      <c r="Q159" s="29">
        <v>-35</v>
      </c>
      <c r="R159" s="35">
        <v>-0.44</v>
      </c>
      <c r="S159" s="29">
        <v>8.1097000000000002E-2</v>
      </c>
      <c r="T159" s="29">
        <v>6.5101554999999998</v>
      </c>
      <c r="U159" s="29">
        <v>196.67699999999999</v>
      </c>
    </row>
    <row r="160" spans="7:21">
      <c r="G160" s="32">
        <v>20231215</v>
      </c>
      <c r="H160" s="32" t="s">
        <v>2187</v>
      </c>
      <c r="I160" s="33" t="s">
        <v>2188</v>
      </c>
      <c r="J160" s="2" t="s">
        <v>2189</v>
      </c>
      <c r="K160" s="2" t="s">
        <v>1723</v>
      </c>
      <c r="L160" s="2" t="s">
        <v>1724</v>
      </c>
      <c r="M160" s="29">
        <v>53890</v>
      </c>
      <c r="N160" s="29">
        <v>53920</v>
      </c>
      <c r="O160" s="29">
        <v>53885</v>
      </c>
      <c r="P160" s="29">
        <v>53920</v>
      </c>
      <c r="Q160" s="29">
        <v>35</v>
      </c>
      <c r="R160" s="35">
        <v>0.06</v>
      </c>
      <c r="S160" s="29">
        <v>7.7958E-2</v>
      </c>
      <c r="T160" s="29">
        <v>42.0198088</v>
      </c>
      <c r="U160" s="29">
        <v>6644.0223999999998</v>
      </c>
    </row>
    <row r="161" spans="7:21">
      <c r="G161" s="32">
        <v>20231215</v>
      </c>
      <c r="H161" s="32" t="s">
        <v>2190</v>
      </c>
      <c r="I161" s="33" t="s">
        <v>2191</v>
      </c>
      <c r="J161" s="2" t="s">
        <v>2192</v>
      </c>
      <c r="K161" s="2" t="s">
        <v>1723</v>
      </c>
      <c r="L161" s="2" t="s">
        <v>1724</v>
      </c>
      <c r="M161" s="29">
        <v>5275</v>
      </c>
      <c r="N161" s="29">
        <v>5275</v>
      </c>
      <c r="O161" s="29">
        <v>5200</v>
      </c>
      <c r="P161" s="29">
        <v>5250</v>
      </c>
      <c r="Q161" s="29">
        <v>-25</v>
      </c>
      <c r="R161" s="35">
        <v>-0.47</v>
      </c>
      <c r="S161" s="29">
        <v>7.7080999999999997E-2</v>
      </c>
      <c r="T161" s="29">
        <v>4.0377401500000003</v>
      </c>
      <c r="U161" s="29">
        <v>178.5</v>
      </c>
    </row>
    <row r="162" spans="7:21">
      <c r="G162" s="32">
        <v>20231215</v>
      </c>
      <c r="H162" s="32" t="s">
        <v>2193</v>
      </c>
      <c r="I162" s="33" t="s">
        <v>2194</v>
      </c>
      <c r="J162" s="2" t="s">
        <v>2195</v>
      </c>
      <c r="K162" s="2" t="s">
        <v>1723</v>
      </c>
      <c r="L162" s="2" t="s">
        <v>1724</v>
      </c>
      <c r="M162" s="29">
        <v>13710</v>
      </c>
      <c r="N162" s="29">
        <v>13850</v>
      </c>
      <c r="O162" s="29">
        <v>13710</v>
      </c>
      <c r="P162" s="29">
        <v>13850</v>
      </c>
      <c r="Q162" s="29">
        <v>190</v>
      </c>
      <c r="R162" s="35">
        <v>1.39</v>
      </c>
      <c r="S162" s="29">
        <v>7.6836000000000002E-2</v>
      </c>
      <c r="T162" s="29">
        <v>10.5864934</v>
      </c>
      <c r="U162" s="29">
        <v>191.13</v>
      </c>
    </row>
    <row r="163" spans="7:21">
      <c r="G163" s="32">
        <v>20231215</v>
      </c>
      <c r="H163" s="32" t="s">
        <v>2196</v>
      </c>
      <c r="I163" s="33" t="s">
        <v>2197</v>
      </c>
      <c r="J163" s="2" t="s">
        <v>2198</v>
      </c>
      <c r="K163" s="2" t="s">
        <v>1723</v>
      </c>
      <c r="L163" s="2" t="s">
        <v>1724</v>
      </c>
      <c r="M163" s="29">
        <v>15355</v>
      </c>
      <c r="N163" s="29">
        <v>15630</v>
      </c>
      <c r="O163" s="29">
        <v>15340</v>
      </c>
      <c r="P163" s="29">
        <v>15600</v>
      </c>
      <c r="Q163" s="29">
        <v>555</v>
      </c>
      <c r="R163" s="35">
        <v>3.69</v>
      </c>
      <c r="S163" s="29">
        <v>7.4137999999999996E-2</v>
      </c>
      <c r="T163" s="29">
        <v>11.52587995</v>
      </c>
      <c r="U163" s="29">
        <v>926.64</v>
      </c>
    </row>
    <row r="164" spans="7:21">
      <c r="G164" s="32">
        <v>20231215</v>
      </c>
      <c r="H164" s="32" t="s">
        <v>2199</v>
      </c>
      <c r="I164" s="33" t="s">
        <v>2200</v>
      </c>
      <c r="J164" s="2" t="s">
        <v>2201</v>
      </c>
      <c r="K164" s="2" t="s">
        <v>1723</v>
      </c>
      <c r="L164" s="2" t="s">
        <v>1724</v>
      </c>
      <c r="M164" s="29">
        <v>5185</v>
      </c>
      <c r="N164" s="29">
        <v>5240</v>
      </c>
      <c r="O164" s="29">
        <v>5130</v>
      </c>
      <c r="P164" s="29">
        <v>5180</v>
      </c>
      <c r="Q164" s="29">
        <v>30</v>
      </c>
      <c r="R164" s="35">
        <v>0.57999999999999996</v>
      </c>
      <c r="S164" s="29">
        <v>7.2283E-2</v>
      </c>
      <c r="T164" s="29">
        <v>3.7338604000000002</v>
      </c>
      <c r="U164" s="29">
        <v>188.55199999999999</v>
      </c>
    </row>
    <row r="165" spans="7:21">
      <c r="G165" s="32">
        <v>20231215</v>
      </c>
      <c r="H165" s="32" t="s">
        <v>2202</v>
      </c>
      <c r="I165" s="33" t="s">
        <v>2203</v>
      </c>
      <c r="J165" s="2" t="s">
        <v>2204</v>
      </c>
      <c r="K165" s="2" t="s">
        <v>1723</v>
      </c>
      <c r="L165" s="2" t="s">
        <v>1724</v>
      </c>
      <c r="M165" s="29">
        <v>9415</v>
      </c>
      <c r="N165" s="29">
        <v>9555</v>
      </c>
      <c r="O165" s="29">
        <v>9410</v>
      </c>
      <c r="P165" s="29">
        <v>9410</v>
      </c>
      <c r="Q165" s="29">
        <v>20</v>
      </c>
      <c r="R165" s="35">
        <v>0.21</v>
      </c>
      <c r="S165" s="29">
        <v>7.1299000000000001E-2</v>
      </c>
      <c r="T165" s="29">
        <v>6.77748975</v>
      </c>
      <c r="U165" s="29">
        <v>263.48</v>
      </c>
    </row>
    <row r="166" spans="7:21">
      <c r="G166" s="32">
        <v>20231215</v>
      </c>
      <c r="H166" s="32" t="s">
        <v>2205</v>
      </c>
      <c r="I166" s="33" t="s">
        <v>2206</v>
      </c>
      <c r="J166" s="2" t="s">
        <v>2207</v>
      </c>
      <c r="K166" s="2" t="s">
        <v>1723</v>
      </c>
      <c r="L166" s="2" t="s">
        <v>1724</v>
      </c>
      <c r="M166" s="29">
        <v>110040</v>
      </c>
      <c r="N166" s="29">
        <v>110055</v>
      </c>
      <c r="O166" s="29">
        <v>110035</v>
      </c>
      <c r="P166" s="29">
        <v>110055</v>
      </c>
      <c r="Q166" s="29">
        <v>25</v>
      </c>
      <c r="R166" s="35">
        <v>0.02</v>
      </c>
      <c r="S166" s="29">
        <v>7.0906999999999998E-2</v>
      </c>
      <c r="T166" s="29">
        <v>78.027879049999996</v>
      </c>
      <c r="U166" s="29">
        <v>4603.6006500000003</v>
      </c>
    </row>
    <row r="167" spans="7:21">
      <c r="G167" s="32">
        <v>20231215</v>
      </c>
      <c r="H167" s="32" t="s">
        <v>2208</v>
      </c>
      <c r="I167" s="33" t="s">
        <v>2209</v>
      </c>
      <c r="J167" s="2" t="s">
        <v>2210</v>
      </c>
      <c r="K167" s="2" t="s">
        <v>1723</v>
      </c>
      <c r="L167" s="2" t="s">
        <v>1724</v>
      </c>
      <c r="M167" s="29">
        <v>8065</v>
      </c>
      <c r="N167" s="29">
        <v>8605</v>
      </c>
      <c r="O167" s="29">
        <v>8020</v>
      </c>
      <c r="P167" s="29">
        <v>8500</v>
      </c>
      <c r="Q167" s="29">
        <v>440</v>
      </c>
      <c r="R167" s="35">
        <v>5.46</v>
      </c>
      <c r="S167" s="29">
        <v>7.0666999999999994E-2</v>
      </c>
      <c r="T167" s="29">
        <v>5.8775732500000002</v>
      </c>
      <c r="U167" s="29">
        <v>42.5</v>
      </c>
    </row>
    <row r="168" spans="7:21">
      <c r="G168" s="32">
        <v>20231215</v>
      </c>
      <c r="H168" s="32" t="s">
        <v>2211</v>
      </c>
      <c r="I168" s="33" t="s">
        <v>2212</v>
      </c>
      <c r="J168" s="2" t="s">
        <v>2213</v>
      </c>
      <c r="K168" s="2" t="s">
        <v>1723</v>
      </c>
      <c r="L168" s="2" t="s">
        <v>1724</v>
      </c>
      <c r="M168" s="29">
        <v>10280</v>
      </c>
      <c r="N168" s="29">
        <v>10510</v>
      </c>
      <c r="O168" s="29">
        <v>10280</v>
      </c>
      <c r="P168" s="29">
        <v>10500</v>
      </c>
      <c r="Q168" s="29">
        <v>225</v>
      </c>
      <c r="R168" s="35">
        <v>2.19</v>
      </c>
      <c r="S168" s="29">
        <v>6.8914000000000003E-2</v>
      </c>
      <c r="T168" s="29">
        <v>7.1992533500000002</v>
      </c>
      <c r="U168" s="29">
        <v>246.75</v>
      </c>
    </row>
    <row r="169" spans="7:21">
      <c r="G169" s="32">
        <v>20231215</v>
      </c>
      <c r="H169" s="32" t="s">
        <v>2214</v>
      </c>
      <c r="I169" s="33" t="s">
        <v>2215</v>
      </c>
      <c r="J169" s="2" t="s">
        <v>2216</v>
      </c>
      <c r="K169" s="2" t="s">
        <v>1723</v>
      </c>
      <c r="L169" s="2" t="s">
        <v>1724</v>
      </c>
      <c r="M169" s="29">
        <v>10150</v>
      </c>
      <c r="N169" s="29">
        <v>10220</v>
      </c>
      <c r="O169" s="29">
        <v>10120</v>
      </c>
      <c r="P169" s="29">
        <v>10200</v>
      </c>
      <c r="Q169" s="29">
        <v>100</v>
      </c>
      <c r="R169" s="35">
        <v>0.99</v>
      </c>
      <c r="S169" s="29">
        <v>6.7399000000000001E-2</v>
      </c>
      <c r="T169" s="29">
        <v>6.8672754500000002</v>
      </c>
      <c r="U169" s="29">
        <v>270.3</v>
      </c>
    </row>
    <row r="170" spans="7:21">
      <c r="G170" s="32">
        <v>20231215</v>
      </c>
      <c r="H170" s="32" t="s">
        <v>2217</v>
      </c>
      <c r="I170" s="33" t="s">
        <v>2218</v>
      </c>
      <c r="J170" s="2" t="s">
        <v>2219</v>
      </c>
      <c r="K170" s="2" t="s">
        <v>1723</v>
      </c>
      <c r="L170" s="2" t="s">
        <v>1724</v>
      </c>
      <c r="M170" s="29">
        <v>6315</v>
      </c>
      <c r="N170" s="29">
        <v>6345</v>
      </c>
      <c r="O170" s="29">
        <v>6225</v>
      </c>
      <c r="P170" s="29">
        <v>6275</v>
      </c>
      <c r="Q170" s="29">
        <v>20</v>
      </c>
      <c r="R170" s="35">
        <v>0.32</v>
      </c>
      <c r="S170" s="29">
        <v>6.6460000000000005E-2</v>
      </c>
      <c r="T170" s="29">
        <v>4.1780438999999996</v>
      </c>
      <c r="U170" s="29">
        <v>882.89250000000004</v>
      </c>
    </row>
    <row r="171" spans="7:21">
      <c r="G171" s="32">
        <v>20231215</v>
      </c>
      <c r="H171" s="32" t="s">
        <v>2220</v>
      </c>
      <c r="I171" s="33" t="s">
        <v>2221</v>
      </c>
      <c r="J171" s="2" t="s">
        <v>2222</v>
      </c>
      <c r="K171" s="2" t="s">
        <v>1723</v>
      </c>
      <c r="L171" s="2" t="s">
        <v>1724</v>
      </c>
      <c r="M171" s="29">
        <v>8290</v>
      </c>
      <c r="N171" s="29">
        <v>8365</v>
      </c>
      <c r="O171" s="29">
        <v>8290</v>
      </c>
      <c r="P171" s="29">
        <v>8335</v>
      </c>
      <c r="Q171" s="29">
        <v>45</v>
      </c>
      <c r="R171" s="35">
        <v>0.54</v>
      </c>
      <c r="S171" s="29">
        <v>6.6250000000000003E-2</v>
      </c>
      <c r="T171" s="29">
        <v>5.5135282500000002</v>
      </c>
      <c r="U171" s="29">
        <v>1561.1455000000001</v>
      </c>
    </row>
    <row r="172" spans="7:21">
      <c r="G172" s="32">
        <v>20231215</v>
      </c>
      <c r="H172" s="32" t="s">
        <v>2223</v>
      </c>
      <c r="I172" s="33" t="s">
        <v>2224</v>
      </c>
      <c r="J172" s="2" t="s">
        <v>2225</v>
      </c>
      <c r="K172" s="2" t="s">
        <v>1723</v>
      </c>
      <c r="L172" s="2" t="s">
        <v>1724</v>
      </c>
      <c r="M172" s="29">
        <v>11510</v>
      </c>
      <c r="N172" s="29">
        <v>11595</v>
      </c>
      <c r="O172" s="29">
        <v>11510</v>
      </c>
      <c r="P172" s="29">
        <v>11595</v>
      </c>
      <c r="Q172" s="29">
        <v>165</v>
      </c>
      <c r="R172" s="35">
        <v>1.44</v>
      </c>
      <c r="S172" s="29">
        <v>6.5637000000000001E-2</v>
      </c>
      <c r="T172" s="29">
        <v>7.5980862</v>
      </c>
      <c r="U172" s="29">
        <v>863.82749999999999</v>
      </c>
    </row>
    <row r="173" spans="7:21">
      <c r="G173" s="32">
        <v>20231215</v>
      </c>
      <c r="H173" s="32" t="s">
        <v>2226</v>
      </c>
      <c r="I173" s="33" t="s">
        <v>2227</v>
      </c>
      <c r="J173" s="2" t="s">
        <v>2228</v>
      </c>
      <c r="K173" s="2" t="s">
        <v>1723</v>
      </c>
      <c r="L173" s="2" t="s">
        <v>1724</v>
      </c>
      <c r="M173" s="29">
        <v>6755</v>
      </c>
      <c r="N173" s="29">
        <v>6920</v>
      </c>
      <c r="O173" s="29">
        <v>6755</v>
      </c>
      <c r="P173" s="29">
        <v>6830</v>
      </c>
      <c r="Q173" s="29">
        <v>105</v>
      </c>
      <c r="R173" s="35">
        <v>1.56</v>
      </c>
      <c r="S173" s="29">
        <v>6.5346000000000001E-2</v>
      </c>
      <c r="T173" s="29">
        <v>4.4999508500000003</v>
      </c>
      <c r="U173" s="29">
        <v>88.79</v>
      </c>
    </row>
    <row r="174" spans="7:21">
      <c r="G174" s="32">
        <v>20231215</v>
      </c>
      <c r="H174" s="32" t="s">
        <v>2229</v>
      </c>
      <c r="I174" s="33" t="s">
        <v>2230</v>
      </c>
      <c r="J174" s="2" t="s">
        <v>2231</v>
      </c>
      <c r="K174" s="2" t="s">
        <v>1723</v>
      </c>
      <c r="L174" s="2" t="s">
        <v>1724</v>
      </c>
      <c r="M174" s="29">
        <v>10215</v>
      </c>
      <c r="N174" s="29">
        <v>10430</v>
      </c>
      <c r="O174" s="29">
        <v>10175</v>
      </c>
      <c r="P174" s="29">
        <v>10420</v>
      </c>
      <c r="Q174" s="29">
        <v>345</v>
      </c>
      <c r="R174" s="35">
        <v>3.42</v>
      </c>
      <c r="S174" s="29">
        <v>6.4447000000000004E-2</v>
      </c>
      <c r="T174" s="29">
        <v>6.6915094499999999</v>
      </c>
      <c r="U174" s="29">
        <v>3492.7840000000001</v>
      </c>
    </row>
    <row r="175" spans="7:21">
      <c r="G175" s="32">
        <v>20231215</v>
      </c>
      <c r="H175" s="32" t="s">
        <v>2232</v>
      </c>
      <c r="I175" s="33" t="s">
        <v>2233</v>
      </c>
      <c r="J175" s="2" t="s">
        <v>2234</v>
      </c>
      <c r="K175" s="2" t="s">
        <v>1723</v>
      </c>
      <c r="L175" s="2" t="s">
        <v>1724</v>
      </c>
      <c r="M175" s="29">
        <v>11235</v>
      </c>
      <c r="N175" s="29">
        <v>11250</v>
      </c>
      <c r="O175" s="29">
        <v>11220</v>
      </c>
      <c r="P175" s="29">
        <v>11250</v>
      </c>
      <c r="Q175" s="29">
        <v>-5</v>
      </c>
      <c r="R175" s="35">
        <v>-0.04</v>
      </c>
      <c r="S175" s="29">
        <v>6.3796000000000005E-2</v>
      </c>
      <c r="T175" s="29">
        <v>7.1695129</v>
      </c>
      <c r="U175" s="29">
        <v>1850.625</v>
      </c>
    </row>
    <row r="176" spans="7:21">
      <c r="G176" s="32">
        <v>20231215</v>
      </c>
      <c r="H176" s="32" t="s">
        <v>2235</v>
      </c>
      <c r="I176" s="33" t="s">
        <v>2236</v>
      </c>
      <c r="J176" s="2" t="s">
        <v>2237</v>
      </c>
      <c r="K176" s="2" t="s">
        <v>1723</v>
      </c>
      <c r="L176" s="2" t="s">
        <v>1724</v>
      </c>
      <c r="M176" s="29">
        <v>12060</v>
      </c>
      <c r="N176" s="29">
        <v>12230</v>
      </c>
      <c r="O176" s="29">
        <v>12005</v>
      </c>
      <c r="P176" s="29">
        <v>12220</v>
      </c>
      <c r="Q176" s="29">
        <v>315</v>
      </c>
      <c r="R176" s="35">
        <v>2.65</v>
      </c>
      <c r="S176" s="29">
        <v>6.0346999999999998E-2</v>
      </c>
      <c r="T176" s="29">
        <v>7.3638345000000003</v>
      </c>
      <c r="U176" s="29">
        <v>171.08</v>
      </c>
    </row>
    <row r="177" spans="7:21">
      <c r="G177" s="32">
        <v>20231215</v>
      </c>
      <c r="H177" s="32" t="s">
        <v>2238</v>
      </c>
      <c r="I177" s="33" t="s">
        <v>2239</v>
      </c>
      <c r="J177" s="2" t="s">
        <v>2240</v>
      </c>
      <c r="K177" s="2" t="s">
        <v>1723</v>
      </c>
      <c r="L177" s="2" t="s">
        <v>1724</v>
      </c>
      <c r="M177" s="29">
        <v>10365</v>
      </c>
      <c r="N177" s="29">
        <v>10430</v>
      </c>
      <c r="O177" s="29">
        <v>10360</v>
      </c>
      <c r="P177" s="29">
        <v>10425</v>
      </c>
      <c r="Q177" s="29">
        <v>-265</v>
      </c>
      <c r="R177" s="35">
        <v>-2.48</v>
      </c>
      <c r="S177" s="29">
        <v>5.9785999999999999E-2</v>
      </c>
      <c r="T177" s="29">
        <v>6.2123368000000001</v>
      </c>
      <c r="U177" s="29">
        <v>418.04250000000002</v>
      </c>
    </row>
    <row r="178" spans="7:21">
      <c r="G178" s="32">
        <v>20231215</v>
      </c>
      <c r="H178" s="32" t="s">
        <v>2241</v>
      </c>
      <c r="I178" s="33" t="s">
        <v>2242</v>
      </c>
      <c r="J178" s="2" t="s">
        <v>2243</v>
      </c>
      <c r="K178" s="2" t="s">
        <v>1723</v>
      </c>
      <c r="L178" s="2" t="s">
        <v>1724</v>
      </c>
      <c r="M178" s="29">
        <v>6600</v>
      </c>
      <c r="N178" s="29">
        <v>6670</v>
      </c>
      <c r="O178" s="29">
        <v>6600</v>
      </c>
      <c r="P178" s="29">
        <v>6620</v>
      </c>
      <c r="Q178" s="29">
        <v>70</v>
      </c>
      <c r="R178" s="35">
        <v>1.07</v>
      </c>
      <c r="S178" s="29">
        <v>5.9464000000000003E-2</v>
      </c>
      <c r="T178" s="29">
        <v>3.9390247500000002</v>
      </c>
      <c r="U178" s="29">
        <v>119.16</v>
      </c>
    </row>
    <row r="179" spans="7:21">
      <c r="G179" s="32">
        <v>20231215</v>
      </c>
      <c r="H179" s="32" t="s">
        <v>2244</v>
      </c>
      <c r="I179" s="33" t="s">
        <v>2245</v>
      </c>
      <c r="J179" s="2" t="s">
        <v>2246</v>
      </c>
      <c r="K179" s="2" t="s">
        <v>1723</v>
      </c>
      <c r="L179" s="2" t="s">
        <v>1724</v>
      </c>
      <c r="M179" s="29">
        <v>10185</v>
      </c>
      <c r="N179" s="29">
        <v>10295</v>
      </c>
      <c r="O179" s="29">
        <v>10180</v>
      </c>
      <c r="P179" s="29">
        <v>10280</v>
      </c>
      <c r="Q179" s="29">
        <v>155</v>
      </c>
      <c r="R179" s="35">
        <v>1.53</v>
      </c>
      <c r="S179" s="29">
        <v>5.8985999999999997E-2</v>
      </c>
      <c r="T179" s="29">
        <v>6.0551383999999997</v>
      </c>
      <c r="U179" s="29">
        <v>344.38</v>
      </c>
    </row>
    <row r="180" spans="7:21">
      <c r="G180" s="32">
        <v>20231215</v>
      </c>
      <c r="H180" s="32" t="s">
        <v>2247</v>
      </c>
      <c r="I180" s="33" t="s">
        <v>2248</v>
      </c>
      <c r="J180" s="2" t="s">
        <v>2249</v>
      </c>
      <c r="K180" s="2" t="s">
        <v>1723</v>
      </c>
      <c r="L180" s="2" t="s">
        <v>1724</v>
      </c>
      <c r="M180" s="29">
        <v>12065</v>
      </c>
      <c r="N180" s="29">
        <v>12110</v>
      </c>
      <c r="O180" s="29">
        <v>12055</v>
      </c>
      <c r="P180" s="29">
        <v>12095</v>
      </c>
      <c r="Q180" s="29">
        <v>-10</v>
      </c>
      <c r="R180" s="35">
        <v>-0.08</v>
      </c>
      <c r="S180" s="29">
        <v>5.8951999999999997E-2</v>
      </c>
      <c r="T180" s="29">
        <v>7.1218245500000004</v>
      </c>
      <c r="U180" s="29">
        <v>655.54899999999998</v>
      </c>
    </row>
    <row r="181" spans="7:21">
      <c r="G181" s="32">
        <v>20231215</v>
      </c>
      <c r="H181" s="32" t="s">
        <v>2250</v>
      </c>
      <c r="I181" s="33" t="s">
        <v>2251</v>
      </c>
      <c r="J181" s="2" t="s">
        <v>2252</v>
      </c>
      <c r="K181" s="2" t="s">
        <v>1723</v>
      </c>
      <c r="L181" s="2" t="s">
        <v>1724</v>
      </c>
      <c r="M181" s="29">
        <v>8505</v>
      </c>
      <c r="N181" s="29">
        <v>8610</v>
      </c>
      <c r="O181" s="29">
        <v>8485</v>
      </c>
      <c r="P181" s="29">
        <v>8585</v>
      </c>
      <c r="Q181" s="29">
        <v>80</v>
      </c>
      <c r="R181" s="35">
        <v>0.94</v>
      </c>
      <c r="S181" s="29">
        <v>5.8689999999999999E-2</v>
      </c>
      <c r="T181" s="29">
        <v>5.0250412500000001</v>
      </c>
      <c r="U181" s="29">
        <v>759.77250000000004</v>
      </c>
    </row>
    <row r="182" spans="7:21">
      <c r="G182" s="32">
        <v>20231215</v>
      </c>
      <c r="H182" s="32" t="s">
        <v>2253</v>
      </c>
      <c r="I182" s="33" t="s">
        <v>2254</v>
      </c>
      <c r="J182" s="2" t="s">
        <v>2255</v>
      </c>
      <c r="K182" s="2" t="s">
        <v>1723</v>
      </c>
      <c r="L182" s="2" t="s">
        <v>1724</v>
      </c>
      <c r="M182" s="29">
        <v>10570</v>
      </c>
      <c r="N182" s="29">
        <v>10600</v>
      </c>
      <c r="O182" s="29">
        <v>10555</v>
      </c>
      <c r="P182" s="29">
        <v>10590</v>
      </c>
      <c r="Q182" s="29">
        <v>-15</v>
      </c>
      <c r="R182" s="35">
        <v>-0.14000000000000001</v>
      </c>
      <c r="S182" s="29">
        <v>5.8088000000000001E-2</v>
      </c>
      <c r="T182" s="29">
        <v>6.1443519999999996</v>
      </c>
      <c r="U182" s="29">
        <v>145.083</v>
      </c>
    </row>
    <row r="183" spans="7:21">
      <c r="G183" s="32">
        <v>20231215</v>
      </c>
      <c r="H183" s="32" t="s">
        <v>2256</v>
      </c>
      <c r="I183" s="33" t="s">
        <v>2257</v>
      </c>
      <c r="J183" s="2" t="s">
        <v>2258</v>
      </c>
      <c r="K183" s="2" t="s">
        <v>1723</v>
      </c>
      <c r="L183" s="2" t="s">
        <v>1724</v>
      </c>
      <c r="M183" s="29">
        <v>12670</v>
      </c>
      <c r="N183" s="29">
        <v>12740</v>
      </c>
      <c r="O183" s="29">
        <v>12560</v>
      </c>
      <c r="P183" s="29">
        <v>12735</v>
      </c>
      <c r="Q183" s="29">
        <v>365</v>
      </c>
      <c r="R183" s="35">
        <v>2.95</v>
      </c>
      <c r="S183" s="29">
        <v>5.7160999999999997E-2</v>
      </c>
      <c r="T183" s="29">
        <v>7.2598739999999999</v>
      </c>
      <c r="U183" s="29">
        <v>1203.4575</v>
      </c>
    </row>
    <row r="184" spans="7:21">
      <c r="G184" s="32">
        <v>20231215</v>
      </c>
      <c r="H184" s="32" t="s">
        <v>2259</v>
      </c>
      <c r="I184" s="33" t="s">
        <v>2260</v>
      </c>
      <c r="J184" s="2" t="s">
        <v>2261</v>
      </c>
      <c r="K184" s="2" t="s">
        <v>1723</v>
      </c>
      <c r="L184" s="2" t="s">
        <v>1724</v>
      </c>
      <c r="M184" s="29">
        <v>102290</v>
      </c>
      <c r="N184" s="29">
        <v>102335</v>
      </c>
      <c r="O184" s="29">
        <v>102245</v>
      </c>
      <c r="P184" s="29">
        <v>102295</v>
      </c>
      <c r="Q184" s="29">
        <v>5</v>
      </c>
      <c r="R184" s="35">
        <v>0</v>
      </c>
      <c r="S184" s="29">
        <v>5.6544999999999998E-2</v>
      </c>
      <c r="T184" s="29">
        <v>57.847588850000001</v>
      </c>
      <c r="U184" s="29">
        <v>1038.2942499999999</v>
      </c>
    </row>
    <row r="185" spans="7:21">
      <c r="G185" s="32">
        <v>20231215</v>
      </c>
      <c r="H185" s="32" t="s">
        <v>2262</v>
      </c>
      <c r="I185" s="33" t="s">
        <v>2263</v>
      </c>
      <c r="J185" s="2" t="s">
        <v>2264</v>
      </c>
      <c r="K185" s="2" t="s">
        <v>1723</v>
      </c>
      <c r="L185" s="2" t="s">
        <v>1724</v>
      </c>
      <c r="M185" s="29">
        <v>6635</v>
      </c>
      <c r="N185" s="29">
        <v>6700</v>
      </c>
      <c r="O185" s="29">
        <v>6615</v>
      </c>
      <c r="P185" s="29">
        <v>6700</v>
      </c>
      <c r="Q185" s="29">
        <v>10</v>
      </c>
      <c r="R185" s="35">
        <v>0.15</v>
      </c>
      <c r="S185" s="29">
        <v>5.6326000000000001E-2</v>
      </c>
      <c r="T185" s="29">
        <v>3.7427792499999999</v>
      </c>
      <c r="U185" s="29">
        <v>1314.54</v>
      </c>
    </row>
    <row r="186" spans="7:21">
      <c r="G186" s="32">
        <v>20231215</v>
      </c>
      <c r="H186" s="32" t="s">
        <v>2265</v>
      </c>
      <c r="I186" s="33" t="s">
        <v>2266</v>
      </c>
      <c r="J186" s="2" t="s">
        <v>2267</v>
      </c>
      <c r="K186" s="2" t="s">
        <v>1723</v>
      </c>
      <c r="L186" s="2" t="s">
        <v>1724</v>
      </c>
      <c r="M186" s="29">
        <v>14520</v>
      </c>
      <c r="N186" s="29">
        <v>14585</v>
      </c>
      <c r="O186" s="29">
        <v>14450</v>
      </c>
      <c r="P186" s="29">
        <v>14510</v>
      </c>
      <c r="Q186" s="29">
        <v>95</v>
      </c>
      <c r="R186" s="35">
        <v>0.66</v>
      </c>
      <c r="S186" s="29">
        <v>5.6236000000000001E-2</v>
      </c>
      <c r="T186" s="29">
        <v>8.1650881500000008</v>
      </c>
      <c r="U186" s="29">
        <v>827.07</v>
      </c>
    </row>
    <row r="187" spans="7:21">
      <c r="G187" s="32">
        <v>20231215</v>
      </c>
      <c r="H187" s="32" t="s">
        <v>2268</v>
      </c>
      <c r="I187" s="33" t="s">
        <v>2269</v>
      </c>
      <c r="J187" s="2" t="s">
        <v>2270</v>
      </c>
      <c r="K187" s="2" t="s">
        <v>1723</v>
      </c>
      <c r="L187" s="2" t="s">
        <v>1724</v>
      </c>
      <c r="M187" s="29">
        <v>9320</v>
      </c>
      <c r="N187" s="29">
        <v>9350</v>
      </c>
      <c r="O187" s="29">
        <v>9320</v>
      </c>
      <c r="P187" s="29">
        <v>9340</v>
      </c>
      <c r="Q187" s="29">
        <v>60</v>
      </c>
      <c r="R187" s="35">
        <v>0.65</v>
      </c>
      <c r="S187" s="29">
        <v>5.5983999999999999E-2</v>
      </c>
      <c r="T187" s="29">
        <v>5.2270928999999997</v>
      </c>
      <c r="U187" s="29">
        <v>149.44</v>
      </c>
    </row>
    <row r="188" spans="7:21">
      <c r="G188" s="32">
        <v>20231215</v>
      </c>
      <c r="H188" s="32" t="s">
        <v>2271</v>
      </c>
      <c r="I188" s="33" t="s">
        <v>2272</v>
      </c>
      <c r="J188" s="2" t="s">
        <v>2273</v>
      </c>
      <c r="K188" s="2" t="s">
        <v>1723</v>
      </c>
      <c r="L188" s="2" t="s">
        <v>1724</v>
      </c>
      <c r="M188" s="29">
        <v>12065</v>
      </c>
      <c r="N188" s="29">
        <v>12245</v>
      </c>
      <c r="O188" s="29">
        <v>12000</v>
      </c>
      <c r="P188" s="29">
        <v>12060</v>
      </c>
      <c r="Q188" s="29">
        <v>10</v>
      </c>
      <c r="R188" s="35">
        <v>0.08</v>
      </c>
      <c r="S188" s="29">
        <v>5.5567999999999999E-2</v>
      </c>
      <c r="T188" s="29">
        <v>6.73813335</v>
      </c>
      <c r="U188" s="29">
        <v>120.6</v>
      </c>
    </row>
    <row r="189" spans="7:21">
      <c r="G189" s="32">
        <v>20231215</v>
      </c>
      <c r="H189" s="32" t="s">
        <v>2274</v>
      </c>
      <c r="I189" s="33" t="s">
        <v>2275</v>
      </c>
      <c r="J189" s="2" t="s">
        <v>2276</v>
      </c>
      <c r="K189" s="2" t="s">
        <v>1723</v>
      </c>
      <c r="L189" s="2" t="s">
        <v>1724</v>
      </c>
      <c r="M189" s="29">
        <v>3230</v>
      </c>
      <c r="N189" s="29">
        <v>3230</v>
      </c>
      <c r="O189" s="29">
        <v>3180</v>
      </c>
      <c r="P189" s="29">
        <v>3195</v>
      </c>
      <c r="Q189" s="29">
        <v>-90</v>
      </c>
      <c r="R189" s="35">
        <v>-2.74</v>
      </c>
      <c r="S189" s="29">
        <v>5.527E-2</v>
      </c>
      <c r="T189" s="29">
        <v>1.76571235</v>
      </c>
      <c r="U189" s="29">
        <v>140.58000000000001</v>
      </c>
    </row>
    <row r="190" spans="7:21">
      <c r="G190" s="32">
        <v>20231215</v>
      </c>
      <c r="H190" s="32" t="s">
        <v>2277</v>
      </c>
      <c r="I190" s="33" t="s">
        <v>2278</v>
      </c>
      <c r="J190" s="2" t="s">
        <v>2279</v>
      </c>
      <c r="K190" s="2" t="s">
        <v>1723</v>
      </c>
      <c r="L190" s="2" t="s">
        <v>1724</v>
      </c>
      <c r="M190" s="29">
        <v>10750</v>
      </c>
      <c r="N190" s="29">
        <v>10855</v>
      </c>
      <c r="O190" s="29">
        <v>10720</v>
      </c>
      <c r="P190" s="29">
        <v>10785</v>
      </c>
      <c r="Q190" s="29">
        <v>95</v>
      </c>
      <c r="R190" s="35">
        <v>0.89</v>
      </c>
      <c r="S190" s="29">
        <v>5.3914999999999998E-2</v>
      </c>
      <c r="T190" s="29">
        <v>5.8192541499999999</v>
      </c>
      <c r="U190" s="29">
        <v>1261.845</v>
      </c>
    </row>
    <row r="191" spans="7:21">
      <c r="G191" s="32">
        <v>20231215</v>
      </c>
      <c r="H191" s="32" t="s">
        <v>2280</v>
      </c>
      <c r="I191" s="33" t="s">
        <v>2281</v>
      </c>
      <c r="J191" s="2" t="s">
        <v>2282</v>
      </c>
      <c r="K191" s="2" t="s">
        <v>1723</v>
      </c>
      <c r="L191" s="2" t="s">
        <v>1724</v>
      </c>
      <c r="M191" s="29">
        <v>11165</v>
      </c>
      <c r="N191" s="29">
        <v>11265</v>
      </c>
      <c r="O191" s="29">
        <v>11165</v>
      </c>
      <c r="P191" s="29">
        <v>11230</v>
      </c>
      <c r="Q191" s="29">
        <v>75</v>
      </c>
      <c r="R191" s="35">
        <v>0.67</v>
      </c>
      <c r="S191" s="29">
        <v>5.2343000000000001E-2</v>
      </c>
      <c r="T191" s="29">
        <v>5.8933233500000002</v>
      </c>
      <c r="U191" s="29">
        <v>89.84</v>
      </c>
    </row>
    <row r="192" spans="7:21">
      <c r="G192" s="32">
        <v>20231215</v>
      </c>
      <c r="H192" s="32" t="s">
        <v>2283</v>
      </c>
      <c r="I192" s="33" t="s">
        <v>2284</v>
      </c>
      <c r="J192" s="2" t="s">
        <v>2285</v>
      </c>
      <c r="K192" s="2" t="s">
        <v>1723</v>
      </c>
      <c r="L192" s="2" t="s">
        <v>1724</v>
      </c>
      <c r="M192" s="29">
        <v>9225</v>
      </c>
      <c r="N192" s="29">
        <v>9275</v>
      </c>
      <c r="O192" s="29">
        <v>9205</v>
      </c>
      <c r="P192" s="29">
        <v>9225</v>
      </c>
      <c r="Q192" s="29">
        <v>-5</v>
      </c>
      <c r="R192" s="35">
        <v>-0.05</v>
      </c>
      <c r="S192" s="29">
        <v>5.1936999999999997E-2</v>
      </c>
      <c r="T192" s="29">
        <v>4.7962464999999996</v>
      </c>
      <c r="U192" s="29">
        <v>896.67</v>
      </c>
    </row>
    <row r="193" spans="7:21">
      <c r="G193" s="32">
        <v>20231215</v>
      </c>
      <c r="H193" s="32" t="s">
        <v>2286</v>
      </c>
      <c r="I193" s="33" t="s">
        <v>2287</v>
      </c>
      <c r="J193" s="2" t="s">
        <v>2288</v>
      </c>
      <c r="K193" s="2" t="s">
        <v>1723</v>
      </c>
      <c r="L193" s="2" t="s">
        <v>1724</v>
      </c>
      <c r="M193" s="29">
        <v>51700</v>
      </c>
      <c r="N193" s="29">
        <v>51715</v>
      </c>
      <c r="O193" s="29">
        <v>51665</v>
      </c>
      <c r="P193" s="29">
        <v>51700</v>
      </c>
      <c r="Q193" s="29">
        <v>-10</v>
      </c>
      <c r="R193" s="35">
        <v>-0.02</v>
      </c>
      <c r="S193" s="29">
        <v>5.0507000000000003E-2</v>
      </c>
      <c r="T193" s="29">
        <v>26.1050939</v>
      </c>
      <c r="U193" s="29">
        <v>4704.7</v>
      </c>
    </row>
    <row r="194" spans="7:21">
      <c r="G194" s="32">
        <v>20231215</v>
      </c>
      <c r="H194" s="32" t="s">
        <v>2289</v>
      </c>
      <c r="I194" s="33" t="s">
        <v>2290</v>
      </c>
      <c r="J194" s="2" t="s">
        <v>2291</v>
      </c>
      <c r="K194" s="2" t="s">
        <v>1723</v>
      </c>
      <c r="L194" s="2" t="s">
        <v>1724</v>
      </c>
      <c r="M194" s="29">
        <v>8955</v>
      </c>
      <c r="N194" s="29">
        <v>9235</v>
      </c>
      <c r="O194" s="29">
        <v>8955</v>
      </c>
      <c r="P194" s="29">
        <v>9045</v>
      </c>
      <c r="Q194" s="29">
        <v>140</v>
      </c>
      <c r="R194" s="35">
        <v>1.57</v>
      </c>
      <c r="S194" s="29">
        <v>4.9801999999999999E-2</v>
      </c>
      <c r="T194" s="29">
        <v>4.5328256500000004</v>
      </c>
      <c r="U194" s="29">
        <v>2365.2674999999999</v>
      </c>
    </row>
    <row r="195" spans="7:21">
      <c r="G195" s="32">
        <v>20231215</v>
      </c>
      <c r="H195" s="32" t="s">
        <v>2292</v>
      </c>
      <c r="I195" s="33" t="s">
        <v>2293</v>
      </c>
      <c r="J195" s="2" t="s">
        <v>2294</v>
      </c>
      <c r="K195" s="2" t="s">
        <v>1723</v>
      </c>
      <c r="L195" s="2" t="s">
        <v>1724</v>
      </c>
      <c r="M195" s="29">
        <v>3185</v>
      </c>
      <c r="N195" s="29">
        <v>3185</v>
      </c>
      <c r="O195" s="29">
        <v>3145</v>
      </c>
      <c r="P195" s="29">
        <v>3155</v>
      </c>
      <c r="Q195" s="29">
        <v>5</v>
      </c>
      <c r="R195" s="35">
        <v>0.16</v>
      </c>
      <c r="S195" s="29">
        <v>4.9181999999999997E-2</v>
      </c>
      <c r="T195" s="29">
        <v>1.5517965499999999</v>
      </c>
      <c r="U195" s="29">
        <v>185.51400000000001</v>
      </c>
    </row>
    <row r="196" spans="7:21">
      <c r="G196" s="32">
        <v>20231215</v>
      </c>
      <c r="H196" s="32" t="s">
        <v>2295</v>
      </c>
      <c r="I196" s="33" t="s">
        <v>2296</v>
      </c>
      <c r="J196" s="2" t="s">
        <v>2297</v>
      </c>
      <c r="K196" s="2" t="s">
        <v>1723</v>
      </c>
      <c r="L196" s="2" t="s">
        <v>1724</v>
      </c>
      <c r="M196" s="29">
        <v>11000</v>
      </c>
      <c r="N196" s="29">
        <v>11015</v>
      </c>
      <c r="O196" s="29">
        <v>10970</v>
      </c>
      <c r="P196" s="29">
        <v>11015</v>
      </c>
      <c r="Q196" s="29">
        <v>15</v>
      </c>
      <c r="R196" s="35">
        <v>0.14000000000000001</v>
      </c>
      <c r="S196" s="29">
        <v>4.8977E-2</v>
      </c>
      <c r="T196" s="29">
        <v>5.3840758500000003</v>
      </c>
      <c r="U196" s="29">
        <v>385.52499999999998</v>
      </c>
    </row>
    <row r="197" spans="7:21">
      <c r="G197" s="32">
        <v>20231215</v>
      </c>
      <c r="H197" s="32" t="s">
        <v>2298</v>
      </c>
      <c r="I197" s="33" t="s">
        <v>2299</v>
      </c>
      <c r="J197" s="2" t="s">
        <v>2300</v>
      </c>
      <c r="K197" s="2" t="s">
        <v>1723</v>
      </c>
      <c r="L197" s="2" t="s">
        <v>1724</v>
      </c>
      <c r="M197" s="29">
        <v>12300</v>
      </c>
      <c r="N197" s="29">
        <v>12330</v>
      </c>
      <c r="O197" s="29">
        <v>12245</v>
      </c>
      <c r="P197" s="29">
        <v>12330</v>
      </c>
      <c r="Q197" s="29">
        <v>120</v>
      </c>
      <c r="R197" s="35">
        <v>0.98</v>
      </c>
      <c r="S197" s="29">
        <v>4.8212999999999999E-2</v>
      </c>
      <c r="T197" s="29">
        <v>5.9245824999999996</v>
      </c>
      <c r="U197" s="29">
        <v>548.68499999999995</v>
      </c>
    </row>
    <row r="198" spans="7:21">
      <c r="G198" s="32">
        <v>20231215</v>
      </c>
      <c r="H198" s="32" t="s">
        <v>2301</v>
      </c>
      <c r="I198" s="33" t="s">
        <v>2302</v>
      </c>
      <c r="J198" s="2" t="s">
        <v>2303</v>
      </c>
      <c r="K198" s="2" t="s">
        <v>1723</v>
      </c>
      <c r="L198" s="2" t="s">
        <v>1724</v>
      </c>
      <c r="M198" s="29">
        <v>11085</v>
      </c>
      <c r="N198" s="29">
        <v>11210</v>
      </c>
      <c r="O198" s="29">
        <v>11070</v>
      </c>
      <c r="P198" s="29">
        <v>11165</v>
      </c>
      <c r="Q198" s="29">
        <v>80</v>
      </c>
      <c r="R198" s="35">
        <v>0.72</v>
      </c>
      <c r="S198" s="29">
        <v>4.8174000000000002E-2</v>
      </c>
      <c r="T198" s="29">
        <v>5.36780335</v>
      </c>
      <c r="U198" s="29">
        <v>150.72749999999999</v>
      </c>
    </row>
    <row r="199" spans="7:21">
      <c r="G199" s="32">
        <v>20231215</v>
      </c>
      <c r="H199" s="32" t="s">
        <v>2304</v>
      </c>
      <c r="I199" s="33" t="s">
        <v>2305</v>
      </c>
      <c r="J199" s="2" t="s">
        <v>2306</v>
      </c>
      <c r="K199" s="2" t="s">
        <v>1723</v>
      </c>
      <c r="L199" s="2" t="s">
        <v>1724</v>
      </c>
      <c r="M199" s="29">
        <v>11415</v>
      </c>
      <c r="N199" s="29">
        <v>11675</v>
      </c>
      <c r="O199" s="29">
        <v>11415</v>
      </c>
      <c r="P199" s="29">
        <v>11585</v>
      </c>
      <c r="Q199" s="29">
        <v>180</v>
      </c>
      <c r="R199" s="35">
        <v>1.58</v>
      </c>
      <c r="S199" s="29">
        <v>4.7232999999999997E-2</v>
      </c>
      <c r="T199" s="29">
        <v>5.4665587000000002</v>
      </c>
      <c r="U199" s="29">
        <v>127.435</v>
      </c>
    </row>
    <row r="200" spans="7:21">
      <c r="G200" s="32">
        <v>20231215</v>
      </c>
      <c r="H200" s="32" t="s">
        <v>2307</v>
      </c>
      <c r="I200" s="33" t="s">
        <v>2308</v>
      </c>
      <c r="J200" s="2" t="s">
        <v>2309</v>
      </c>
      <c r="K200" s="2" t="s">
        <v>1723</v>
      </c>
      <c r="L200" s="2" t="s">
        <v>1724</v>
      </c>
      <c r="M200" s="29">
        <v>7690</v>
      </c>
      <c r="N200" s="29">
        <v>7700</v>
      </c>
      <c r="O200" s="29">
        <v>7615</v>
      </c>
      <c r="P200" s="29">
        <v>7690</v>
      </c>
      <c r="Q200" s="29">
        <v>0</v>
      </c>
      <c r="R200" s="35">
        <v>0</v>
      </c>
      <c r="S200" s="29">
        <v>4.6084E-2</v>
      </c>
      <c r="T200" s="29">
        <v>3.5295910500000001</v>
      </c>
      <c r="U200" s="29">
        <v>1603.365</v>
      </c>
    </row>
    <row r="201" spans="7:21">
      <c r="G201" s="32">
        <v>20231215</v>
      </c>
      <c r="H201" s="32" t="s">
        <v>2310</v>
      </c>
      <c r="I201" s="33" t="s">
        <v>2311</v>
      </c>
      <c r="J201" s="2" t="s">
        <v>2312</v>
      </c>
      <c r="K201" s="2" t="s">
        <v>1723</v>
      </c>
      <c r="L201" s="2" t="s">
        <v>1724</v>
      </c>
      <c r="M201" s="29">
        <v>28435</v>
      </c>
      <c r="N201" s="29">
        <v>28545</v>
      </c>
      <c r="O201" s="29">
        <v>27700</v>
      </c>
      <c r="P201" s="29">
        <v>27795</v>
      </c>
      <c r="Q201" s="29">
        <v>-640</v>
      </c>
      <c r="R201" s="35">
        <v>-2.25</v>
      </c>
      <c r="S201" s="29">
        <v>4.5044000000000001E-2</v>
      </c>
      <c r="T201" s="29">
        <v>12.67107085</v>
      </c>
      <c r="U201" s="29">
        <v>2090.1840000000002</v>
      </c>
    </row>
    <row r="202" spans="7:21">
      <c r="G202" s="32">
        <v>20231215</v>
      </c>
      <c r="H202" s="32" t="s">
        <v>2313</v>
      </c>
      <c r="I202" s="33" t="s">
        <v>2314</v>
      </c>
      <c r="J202" s="2" t="s">
        <v>2315</v>
      </c>
      <c r="K202" s="2" t="s">
        <v>1723</v>
      </c>
      <c r="L202" s="2" t="s">
        <v>1724</v>
      </c>
      <c r="M202" s="29">
        <v>13170</v>
      </c>
      <c r="N202" s="29">
        <v>13230</v>
      </c>
      <c r="O202" s="29">
        <v>13125</v>
      </c>
      <c r="P202" s="29">
        <v>13230</v>
      </c>
      <c r="Q202" s="29">
        <v>-35</v>
      </c>
      <c r="R202" s="35">
        <v>-0.26</v>
      </c>
      <c r="S202" s="29">
        <v>4.4238E-2</v>
      </c>
      <c r="T202" s="29">
        <v>5.81861345</v>
      </c>
      <c r="U202" s="29">
        <v>84.671999999999997</v>
      </c>
    </row>
    <row r="203" spans="7:21">
      <c r="G203" s="32">
        <v>20231215</v>
      </c>
      <c r="H203" s="32" t="s">
        <v>2316</v>
      </c>
      <c r="I203" s="33" t="s">
        <v>2317</v>
      </c>
      <c r="J203" s="2" t="s">
        <v>2318</v>
      </c>
      <c r="K203" s="2" t="s">
        <v>1723</v>
      </c>
      <c r="L203" s="2" t="s">
        <v>1724</v>
      </c>
      <c r="M203" s="29">
        <v>10555</v>
      </c>
      <c r="N203" s="29">
        <v>10635</v>
      </c>
      <c r="O203" s="29">
        <v>10555</v>
      </c>
      <c r="P203" s="29">
        <v>10615</v>
      </c>
      <c r="Q203" s="29">
        <v>-110</v>
      </c>
      <c r="R203" s="35">
        <v>-1.03</v>
      </c>
      <c r="S203" s="29">
        <v>4.4139999999999999E-2</v>
      </c>
      <c r="T203" s="29">
        <v>4.6802402499999998</v>
      </c>
      <c r="U203" s="29">
        <v>74.305000000000007</v>
      </c>
    </row>
    <row r="204" spans="7:21">
      <c r="G204" s="32">
        <v>20231215</v>
      </c>
      <c r="H204" s="32" t="s">
        <v>2319</v>
      </c>
      <c r="I204" s="33" t="s">
        <v>2320</v>
      </c>
      <c r="J204" s="2" t="s">
        <v>2321</v>
      </c>
      <c r="K204" s="2" t="s">
        <v>1723</v>
      </c>
      <c r="L204" s="2" t="s">
        <v>1724</v>
      </c>
      <c r="M204" s="29">
        <v>6665</v>
      </c>
      <c r="N204" s="29">
        <v>6765</v>
      </c>
      <c r="O204" s="29">
        <v>6660</v>
      </c>
      <c r="P204" s="29">
        <v>6705</v>
      </c>
      <c r="Q204" s="29">
        <v>80</v>
      </c>
      <c r="R204" s="35">
        <v>1.21</v>
      </c>
      <c r="S204" s="29">
        <v>4.3117999999999997E-2</v>
      </c>
      <c r="T204" s="29">
        <v>2.89925525</v>
      </c>
      <c r="U204" s="29">
        <v>108.621</v>
      </c>
    </row>
    <row r="205" spans="7:21">
      <c r="G205" s="32">
        <v>20231215</v>
      </c>
      <c r="H205" s="32" t="s">
        <v>2322</v>
      </c>
      <c r="I205" s="33" t="s">
        <v>2323</v>
      </c>
      <c r="J205" s="2" t="s">
        <v>2324</v>
      </c>
      <c r="K205" s="2" t="s">
        <v>1723</v>
      </c>
      <c r="L205" s="2" t="s">
        <v>1724</v>
      </c>
      <c r="M205" s="29">
        <v>9450</v>
      </c>
      <c r="N205" s="29">
        <v>9450</v>
      </c>
      <c r="O205" s="29">
        <v>9335</v>
      </c>
      <c r="P205" s="29">
        <v>9395</v>
      </c>
      <c r="Q205" s="29">
        <v>-125</v>
      </c>
      <c r="R205" s="35">
        <v>-1.31</v>
      </c>
      <c r="S205" s="29">
        <v>4.1709999999999997E-2</v>
      </c>
      <c r="T205" s="29">
        <v>3.9043830000000002</v>
      </c>
      <c r="U205" s="29">
        <v>136.22749999999999</v>
      </c>
    </row>
    <row r="206" spans="7:21">
      <c r="G206" s="32">
        <v>20231215</v>
      </c>
      <c r="H206" s="32" t="s">
        <v>2325</v>
      </c>
      <c r="I206" s="33" t="s">
        <v>2326</v>
      </c>
      <c r="J206" s="2" t="s">
        <v>2327</v>
      </c>
      <c r="K206" s="2" t="s">
        <v>1723</v>
      </c>
      <c r="L206" s="2" t="s">
        <v>1724</v>
      </c>
      <c r="M206" s="29">
        <v>10425</v>
      </c>
      <c r="N206" s="29">
        <v>10485</v>
      </c>
      <c r="O206" s="29">
        <v>10370</v>
      </c>
      <c r="P206" s="29">
        <v>10395</v>
      </c>
      <c r="Q206" s="29">
        <v>-5</v>
      </c>
      <c r="R206" s="35">
        <v>-0.05</v>
      </c>
      <c r="S206" s="29">
        <v>4.1664E-2</v>
      </c>
      <c r="T206" s="29">
        <v>4.2327304999999997</v>
      </c>
      <c r="U206" s="29">
        <v>332.64</v>
      </c>
    </row>
    <row r="207" spans="7:21">
      <c r="G207" s="32">
        <v>20231215</v>
      </c>
      <c r="H207" s="32" t="s">
        <v>2328</v>
      </c>
      <c r="I207" s="33" t="s">
        <v>2329</v>
      </c>
      <c r="J207" s="2" t="s">
        <v>2330</v>
      </c>
      <c r="K207" s="2" t="s">
        <v>1723</v>
      </c>
      <c r="L207" s="2" t="s">
        <v>1724</v>
      </c>
      <c r="M207" s="29">
        <v>12190</v>
      </c>
      <c r="N207" s="29">
        <v>12435</v>
      </c>
      <c r="O207" s="29">
        <v>12165</v>
      </c>
      <c r="P207" s="29">
        <v>12235</v>
      </c>
      <c r="Q207" s="29">
        <v>100</v>
      </c>
      <c r="R207" s="35">
        <v>0.82</v>
      </c>
      <c r="S207" s="29">
        <v>4.1182000000000003E-2</v>
      </c>
      <c r="T207" s="29">
        <v>5.0499290999999999</v>
      </c>
      <c r="U207" s="29">
        <v>212.88900000000001</v>
      </c>
    </row>
    <row r="208" spans="7:21">
      <c r="G208" s="32">
        <v>20231215</v>
      </c>
      <c r="H208" s="32" t="s">
        <v>2331</v>
      </c>
      <c r="I208" s="33" t="s">
        <v>2332</v>
      </c>
      <c r="J208" s="2" t="s">
        <v>2333</v>
      </c>
      <c r="K208" s="2" t="s">
        <v>1723</v>
      </c>
      <c r="L208" s="2" t="s">
        <v>1724</v>
      </c>
      <c r="M208" s="29">
        <v>13930</v>
      </c>
      <c r="N208" s="29">
        <v>14320</v>
      </c>
      <c r="O208" s="29">
        <v>13930</v>
      </c>
      <c r="P208" s="29">
        <v>14305</v>
      </c>
      <c r="Q208" s="29">
        <v>385</v>
      </c>
      <c r="R208" s="35">
        <v>2.77</v>
      </c>
      <c r="S208" s="29">
        <v>4.0701000000000001E-2</v>
      </c>
      <c r="T208" s="29">
        <v>5.8091754</v>
      </c>
      <c r="U208" s="29">
        <v>256.9178</v>
      </c>
    </row>
    <row r="209" spans="7:21">
      <c r="G209" s="32">
        <v>20231215</v>
      </c>
      <c r="H209" s="32" t="s">
        <v>2334</v>
      </c>
      <c r="I209" s="33" t="s">
        <v>2335</v>
      </c>
      <c r="J209" s="2" t="s">
        <v>2336</v>
      </c>
      <c r="K209" s="2" t="s">
        <v>1723</v>
      </c>
      <c r="L209" s="2" t="s">
        <v>1724</v>
      </c>
      <c r="M209" s="29">
        <v>9730</v>
      </c>
      <c r="N209" s="29">
        <v>9730</v>
      </c>
      <c r="O209" s="29">
        <v>9465</v>
      </c>
      <c r="P209" s="29">
        <v>9505</v>
      </c>
      <c r="Q209" s="29">
        <v>-215</v>
      </c>
      <c r="R209" s="35">
        <v>-2.21</v>
      </c>
      <c r="S209" s="29">
        <v>4.0065000000000003E-2</v>
      </c>
      <c r="T209" s="29">
        <v>3.2938071</v>
      </c>
      <c r="U209" s="29">
        <v>437.23</v>
      </c>
    </row>
    <row r="210" spans="7:21">
      <c r="G210" s="32">
        <v>20231215</v>
      </c>
      <c r="H210" s="32" t="s">
        <v>2337</v>
      </c>
      <c r="I210" s="33" t="s">
        <v>2338</v>
      </c>
      <c r="J210" s="2" t="s">
        <v>2339</v>
      </c>
      <c r="K210" s="2" t="s">
        <v>1723</v>
      </c>
      <c r="L210" s="2" t="s">
        <v>1724</v>
      </c>
      <c r="M210" s="29">
        <v>10055</v>
      </c>
      <c r="N210" s="29">
        <v>10120</v>
      </c>
      <c r="O210" s="29">
        <v>9980</v>
      </c>
      <c r="P210" s="29">
        <v>9985</v>
      </c>
      <c r="Q210" s="29">
        <v>-20</v>
      </c>
      <c r="R210" s="35">
        <v>-0.2</v>
      </c>
      <c r="S210" s="29">
        <v>3.952E-2</v>
      </c>
      <c r="T210" s="29">
        <v>3.9724921000000002</v>
      </c>
      <c r="U210" s="29">
        <v>748.875</v>
      </c>
    </row>
    <row r="211" spans="7:21">
      <c r="G211" s="32">
        <v>20231215</v>
      </c>
      <c r="H211" s="32" t="s">
        <v>2340</v>
      </c>
      <c r="I211" s="33" t="s">
        <v>2341</v>
      </c>
      <c r="J211" s="2" t="s">
        <v>2342</v>
      </c>
      <c r="K211" s="2" t="s">
        <v>1723</v>
      </c>
      <c r="L211" s="2" t="s">
        <v>1724</v>
      </c>
      <c r="M211" s="29">
        <v>6280</v>
      </c>
      <c r="N211" s="29">
        <v>6310</v>
      </c>
      <c r="O211" s="29">
        <v>6175</v>
      </c>
      <c r="P211" s="29">
        <v>6195</v>
      </c>
      <c r="Q211" s="29">
        <v>-85</v>
      </c>
      <c r="R211" s="35">
        <v>-1.35</v>
      </c>
      <c r="S211" s="29">
        <v>3.9025999999999998E-2</v>
      </c>
      <c r="T211" s="29">
        <v>2.42084835</v>
      </c>
      <c r="U211" s="29">
        <v>1273.0725</v>
      </c>
    </row>
    <row r="212" spans="7:21">
      <c r="G212" s="32">
        <v>20231215</v>
      </c>
      <c r="H212" s="32" t="s">
        <v>2343</v>
      </c>
      <c r="I212" s="33" t="s">
        <v>2344</v>
      </c>
      <c r="J212" s="2" t="s">
        <v>2345</v>
      </c>
      <c r="K212" s="2" t="s">
        <v>1723</v>
      </c>
      <c r="L212" s="2" t="s">
        <v>1724</v>
      </c>
      <c r="M212" s="29">
        <v>4645</v>
      </c>
      <c r="N212" s="29">
        <v>4680</v>
      </c>
      <c r="O212" s="29">
        <v>4615</v>
      </c>
      <c r="P212" s="29">
        <v>4650</v>
      </c>
      <c r="Q212" s="29">
        <v>5</v>
      </c>
      <c r="R212" s="35">
        <v>0.11</v>
      </c>
      <c r="S212" s="29">
        <v>3.8822000000000002E-2</v>
      </c>
      <c r="T212" s="29">
        <v>1.8079681000000001</v>
      </c>
      <c r="U212" s="29">
        <v>144.15</v>
      </c>
    </row>
    <row r="213" spans="7:21">
      <c r="G213" s="32">
        <v>20231215</v>
      </c>
      <c r="H213" s="32" t="s">
        <v>2346</v>
      </c>
      <c r="I213" s="33" t="s">
        <v>2347</v>
      </c>
      <c r="J213" s="2" t="s">
        <v>2348</v>
      </c>
      <c r="K213" s="2" t="s">
        <v>1723</v>
      </c>
      <c r="L213" s="2" t="s">
        <v>1724</v>
      </c>
      <c r="M213" s="29">
        <v>6590</v>
      </c>
      <c r="N213" s="29">
        <v>6610</v>
      </c>
      <c r="O213" s="29">
        <v>6565</v>
      </c>
      <c r="P213" s="29">
        <v>6575</v>
      </c>
      <c r="Q213" s="29">
        <v>10</v>
      </c>
      <c r="R213" s="35">
        <v>0.15</v>
      </c>
      <c r="S213" s="29">
        <v>3.8572000000000002E-2</v>
      </c>
      <c r="T213" s="29">
        <v>2.5399582999999999</v>
      </c>
      <c r="U213" s="29">
        <v>456.96249999999998</v>
      </c>
    </row>
    <row r="214" spans="7:21">
      <c r="G214" s="32">
        <v>20231215</v>
      </c>
      <c r="H214" s="32" t="s">
        <v>2349</v>
      </c>
      <c r="I214" s="33" t="s">
        <v>2350</v>
      </c>
      <c r="J214" s="2" t="s">
        <v>2351</v>
      </c>
      <c r="K214" s="2" t="s">
        <v>1723</v>
      </c>
      <c r="L214" s="2" t="s">
        <v>1724</v>
      </c>
      <c r="M214" s="29">
        <v>5020</v>
      </c>
      <c r="N214" s="29">
        <v>5095</v>
      </c>
      <c r="O214" s="29">
        <v>4865</v>
      </c>
      <c r="P214" s="29">
        <v>4955</v>
      </c>
      <c r="Q214" s="29">
        <v>-70</v>
      </c>
      <c r="R214" s="35">
        <v>-1.39</v>
      </c>
      <c r="S214" s="29">
        <v>3.7407000000000003E-2</v>
      </c>
      <c r="T214" s="29">
        <v>1.8332412499999999</v>
      </c>
      <c r="U214" s="29">
        <v>74.325000000000003</v>
      </c>
    </row>
    <row r="215" spans="7:21">
      <c r="G215" s="32">
        <v>20231215</v>
      </c>
      <c r="H215" s="32" t="s">
        <v>2352</v>
      </c>
      <c r="I215" s="33" t="s">
        <v>2353</v>
      </c>
      <c r="J215" s="2" t="s">
        <v>2354</v>
      </c>
      <c r="K215" s="2" t="s">
        <v>1723</v>
      </c>
      <c r="L215" s="2" t="s">
        <v>1724</v>
      </c>
      <c r="M215" s="29">
        <v>8950</v>
      </c>
      <c r="N215" s="29">
        <v>9045</v>
      </c>
      <c r="O215" s="29">
        <v>8880</v>
      </c>
      <c r="P215" s="29">
        <v>8965</v>
      </c>
      <c r="Q215" s="29">
        <v>105</v>
      </c>
      <c r="R215" s="35">
        <v>1.19</v>
      </c>
      <c r="S215" s="29">
        <v>3.7373999999999998E-2</v>
      </c>
      <c r="T215" s="29">
        <v>3.3373010999999999</v>
      </c>
      <c r="U215" s="29">
        <v>720.78599999999994</v>
      </c>
    </row>
    <row r="216" spans="7:21">
      <c r="G216" s="32">
        <v>20231215</v>
      </c>
      <c r="H216" s="32" t="s">
        <v>2355</v>
      </c>
      <c r="I216" s="33" t="s">
        <v>2356</v>
      </c>
      <c r="J216" s="2" t="s">
        <v>2357</v>
      </c>
      <c r="K216" s="2" t="s">
        <v>1723</v>
      </c>
      <c r="L216" s="2" t="s">
        <v>1724</v>
      </c>
      <c r="M216" s="29">
        <v>6125</v>
      </c>
      <c r="N216" s="29">
        <v>6255</v>
      </c>
      <c r="O216" s="29">
        <v>6125</v>
      </c>
      <c r="P216" s="29">
        <v>6255</v>
      </c>
      <c r="Q216" s="29">
        <v>205</v>
      </c>
      <c r="R216" s="35">
        <v>3.39</v>
      </c>
      <c r="S216" s="29">
        <v>3.6865000000000002E-2</v>
      </c>
      <c r="T216" s="29">
        <v>2.2792940000000002</v>
      </c>
      <c r="U216" s="29">
        <v>181.39500000000001</v>
      </c>
    </row>
    <row r="217" spans="7:21">
      <c r="G217" s="32">
        <v>20231215</v>
      </c>
      <c r="H217" s="32" t="s">
        <v>2358</v>
      </c>
      <c r="I217" s="33" t="s">
        <v>2359</v>
      </c>
      <c r="J217" s="2" t="s">
        <v>2360</v>
      </c>
      <c r="K217" s="2" t="s">
        <v>1723</v>
      </c>
      <c r="L217" s="2" t="s">
        <v>1724</v>
      </c>
      <c r="M217" s="29">
        <v>8745</v>
      </c>
      <c r="N217" s="29">
        <v>8935</v>
      </c>
      <c r="O217" s="29">
        <v>8680</v>
      </c>
      <c r="P217" s="29">
        <v>8690</v>
      </c>
      <c r="Q217" s="29">
        <v>140</v>
      </c>
      <c r="R217" s="35">
        <v>1.64</v>
      </c>
      <c r="S217" s="29">
        <v>3.6663000000000001E-2</v>
      </c>
      <c r="T217" s="29">
        <v>3.2355017500000001</v>
      </c>
      <c r="U217" s="29">
        <v>191.18</v>
      </c>
    </row>
    <row r="218" spans="7:21">
      <c r="G218" s="32">
        <v>20231215</v>
      </c>
      <c r="H218" s="32" t="s">
        <v>2361</v>
      </c>
      <c r="I218" s="33" t="s">
        <v>2362</v>
      </c>
      <c r="J218" s="2" t="s">
        <v>2363</v>
      </c>
      <c r="K218" s="2" t="s">
        <v>1723</v>
      </c>
      <c r="L218" s="2" t="s">
        <v>1724</v>
      </c>
      <c r="M218" s="29">
        <v>10070</v>
      </c>
      <c r="N218" s="29">
        <v>10070</v>
      </c>
      <c r="O218" s="29">
        <v>10050</v>
      </c>
      <c r="P218" s="29">
        <v>10060</v>
      </c>
      <c r="Q218" s="29">
        <v>-30</v>
      </c>
      <c r="R218" s="35">
        <v>-0.3</v>
      </c>
      <c r="S218" s="29">
        <v>3.5827999999999999E-2</v>
      </c>
      <c r="T218" s="29">
        <v>3.60505225</v>
      </c>
      <c r="U218" s="29">
        <v>630.76199999999994</v>
      </c>
    </row>
    <row r="219" spans="7:21">
      <c r="G219" s="32">
        <v>20231215</v>
      </c>
      <c r="H219" s="32" t="s">
        <v>2364</v>
      </c>
      <c r="I219" s="33" t="s">
        <v>2365</v>
      </c>
      <c r="J219" s="2" t="s">
        <v>2366</v>
      </c>
      <c r="K219" s="2" t="s">
        <v>1723</v>
      </c>
      <c r="L219" s="2" t="s">
        <v>1724</v>
      </c>
      <c r="M219" s="29">
        <v>11560</v>
      </c>
      <c r="N219" s="29">
        <v>11575</v>
      </c>
      <c r="O219" s="29">
        <v>11505</v>
      </c>
      <c r="P219" s="29">
        <v>11570</v>
      </c>
      <c r="Q219" s="29">
        <v>10</v>
      </c>
      <c r="R219" s="35">
        <v>0.09</v>
      </c>
      <c r="S219" s="29">
        <v>3.5543999999999999E-2</v>
      </c>
      <c r="T219" s="29">
        <v>4.1100468499999998</v>
      </c>
      <c r="U219" s="29">
        <v>300.82</v>
      </c>
    </row>
    <row r="220" spans="7:21">
      <c r="G220" s="32">
        <v>20231215</v>
      </c>
      <c r="H220" s="32" t="s">
        <v>2367</v>
      </c>
      <c r="I220" s="33" t="s">
        <v>2368</v>
      </c>
      <c r="J220" s="2" t="s">
        <v>2369</v>
      </c>
      <c r="K220" s="2" t="s">
        <v>1723</v>
      </c>
      <c r="L220" s="2" t="s">
        <v>1724</v>
      </c>
      <c r="M220" s="29">
        <v>6730</v>
      </c>
      <c r="N220" s="29">
        <v>6790</v>
      </c>
      <c r="O220" s="29">
        <v>6720</v>
      </c>
      <c r="P220" s="29">
        <v>6770</v>
      </c>
      <c r="Q220" s="29">
        <v>65</v>
      </c>
      <c r="R220" s="35">
        <v>0.97</v>
      </c>
      <c r="S220" s="29">
        <v>3.4551999999999999E-2</v>
      </c>
      <c r="T220" s="29">
        <v>2.33862105</v>
      </c>
      <c r="U220" s="29">
        <v>98.841999999999999</v>
      </c>
    </row>
    <row r="221" spans="7:21">
      <c r="G221" s="32">
        <v>20231215</v>
      </c>
      <c r="H221" s="32" t="s">
        <v>2370</v>
      </c>
      <c r="I221" s="33" t="s">
        <v>2371</v>
      </c>
      <c r="J221" s="2" t="s">
        <v>2372</v>
      </c>
      <c r="K221" s="2" t="s">
        <v>1723</v>
      </c>
      <c r="L221" s="2" t="s">
        <v>1724</v>
      </c>
      <c r="M221" s="29">
        <v>10915</v>
      </c>
      <c r="N221" s="29">
        <v>11015</v>
      </c>
      <c r="O221" s="29">
        <v>10915</v>
      </c>
      <c r="P221" s="29">
        <v>11015</v>
      </c>
      <c r="Q221" s="29">
        <v>105</v>
      </c>
      <c r="R221" s="35">
        <v>0.96</v>
      </c>
      <c r="S221" s="29">
        <v>3.4506000000000002E-2</v>
      </c>
      <c r="T221" s="29">
        <v>3.6002082500000001</v>
      </c>
      <c r="U221" s="29">
        <v>2236.0450000000001</v>
      </c>
    </row>
    <row r="222" spans="7:21">
      <c r="G222" s="32">
        <v>20231215</v>
      </c>
      <c r="H222" s="32" t="s">
        <v>2373</v>
      </c>
      <c r="I222" s="33" t="s">
        <v>2374</v>
      </c>
      <c r="J222" s="2" t="s">
        <v>2375</v>
      </c>
      <c r="K222" s="2" t="s">
        <v>1723</v>
      </c>
      <c r="L222" s="2" t="s">
        <v>1724</v>
      </c>
      <c r="M222" s="29">
        <v>12710</v>
      </c>
      <c r="N222" s="29">
        <v>12755</v>
      </c>
      <c r="O222" s="29">
        <v>12670</v>
      </c>
      <c r="P222" s="29">
        <v>12740</v>
      </c>
      <c r="Q222" s="29">
        <v>30</v>
      </c>
      <c r="R222" s="35">
        <v>0.24</v>
      </c>
      <c r="S222" s="29">
        <v>3.4326000000000002E-2</v>
      </c>
      <c r="T222" s="29">
        <v>4.3617793999999996</v>
      </c>
      <c r="U222" s="29">
        <v>254.8</v>
      </c>
    </row>
    <row r="223" spans="7:21">
      <c r="G223" s="32">
        <v>20231215</v>
      </c>
      <c r="H223" s="32" t="s">
        <v>2376</v>
      </c>
      <c r="I223" s="33" t="s">
        <v>2377</v>
      </c>
      <c r="J223" s="2" t="s">
        <v>2378</v>
      </c>
      <c r="K223" s="2" t="s">
        <v>1723</v>
      </c>
      <c r="L223" s="2" t="s">
        <v>1724</v>
      </c>
      <c r="M223" s="29">
        <v>5155</v>
      </c>
      <c r="N223" s="29">
        <v>5205</v>
      </c>
      <c r="O223" s="29">
        <v>5040</v>
      </c>
      <c r="P223" s="29">
        <v>5090</v>
      </c>
      <c r="Q223" s="29">
        <v>20</v>
      </c>
      <c r="R223" s="35">
        <v>0.39</v>
      </c>
      <c r="S223" s="29">
        <v>3.4257000000000003E-2</v>
      </c>
      <c r="T223" s="29">
        <v>1.7598282999999999</v>
      </c>
      <c r="U223" s="29">
        <v>46.319000000000003</v>
      </c>
    </row>
    <row r="224" spans="7:21">
      <c r="G224" s="32">
        <v>20231215</v>
      </c>
      <c r="H224" s="32" t="s">
        <v>2379</v>
      </c>
      <c r="I224" s="33" t="s">
        <v>2380</v>
      </c>
      <c r="J224" s="2" t="s">
        <v>2381</v>
      </c>
      <c r="K224" s="2" t="s">
        <v>1723</v>
      </c>
      <c r="L224" s="2" t="s">
        <v>1724</v>
      </c>
      <c r="M224" s="29">
        <v>12525</v>
      </c>
      <c r="N224" s="29">
        <v>12600</v>
      </c>
      <c r="O224" s="29">
        <v>12250</v>
      </c>
      <c r="P224" s="29">
        <v>12270</v>
      </c>
      <c r="Q224" s="29">
        <v>-290</v>
      </c>
      <c r="R224" s="35">
        <v>-2.31</v>
      </c>
      <c r="S224" s="29">
        <v>3.3897999999999998E-2</v>
      </c>
      <c r="T224" s="29">
        <v>4.22149105</v>
      </c>
      <c r="U224" s="29">
        <v>1030.68</v>
      </c>
    </row>
    <row r="225" spans="7:21">
      <c r="G225" s="32">
        <v>20231215</v>
      </c>
      <c r="H225" s="32" t="s">
        <v>2382</v>
      </c>
      <c r="I225" s="33" t="s">
        <v>2383</v>
      </c>
      <c r="J225" s="2" t="s">
        <v>2384</v>
      </c>
      <c r="K225" s="2" t="s">
        <v>1723</v>
      </c>
      <c r="L225" s="2" t="s">
        <v>1724</v>
      </c>
      <c r="M225" s="29">
        <v>11575</v>
      </c>
      <c r="N225" s="29">
        <v>11590</v>
      </c>
      <c r="O225" s="29">
        <v>11540</v>
      </c>
      <c r="P225" s="29">
        <v>11585</v>
      </c>
      <c r="Q225" s="29">
        <v>-20</v>
      </c>
      <c r="R225" s="35">
        <v>-0.17</v>
      </c>
      <c r="S225" s="29">
        <v>3.3086999999999998E-2</v>
      </c>
      <c r="T225" s="29">
        <v>3.8268064499999999</v>
      </c>
      <c r="U225" s="29">
        <v>301.20999999999998</v>
      </c>
    </row>
    <row r="226" spans="7:21">
      <c r="G226" s="32">
        <v>20231215</v>
      </c>
      <c r="H226" s="32" t="s">
        <v>2385</v>
      </c>
      <c r="I226" s="33" t="s">
        <v>2386</v>
      </c>
      <c r="J226" s="2" t="s">
        <v>2387</v>
      </c>
      <c r="K226" s="2" t="s">
        <v>1723</v>
      </c>
      <c r="L226" s="2" t="s">
        <v>1724</v>
      </c>
      <c r="M226" s="29">
        <v>8780</v>
      </c>
      <c r="N226" s="29">
        <v>8780</v>
      </c>
      <c r="O226" s="29">
        <v>8735</v>
      </c>
      <c r="P226" s="29">
        <v>8735</v>
      </c>
      <c r="Q226" s="29">
        <v>0</v>
      </c>
      <c r="R226" s="35">
        <v>0</v>
      </c>
      <c r="S226" s="29">
        <v>3.2811E-2</v>
      </c>
      <c r="T226" s="29">
        <v>2.8707984</v>
      </c>
      <c r="U226" s="29">
        <v>343.28550000000001</v>
      </c>
    </row>
    <row r="227" spans="7:21">
      <c r="G227" s="32">
        <v>20231215</v>
      </c>
      <c r="H227" s="32" t="s">
        <v>2388</v>
      </c>
      <c r="I227" s="33" t="s">
        <v>2389</v>
      </c>
      <c r="J227" s="2" t="s">
        <v>2390</v>
      </c>
      <c r="K227" s="2" t="s">
        <v>1723</v>
      </c>
      <c r="L227" s="2" t="s">
        <v>1724</v>
      </c>
      <c r="M227" s="29">
        <v>11770</v>
      </c>
      <c r="N227" s="29">
        <v>11770</v>
      </c>
      <c r="O227" s="29">
        <v>11590</v>
      </c>
      <c r="P227" s="29">
        <v>11610</v>
      </c>
      <c r="Q227" s="29">
        <v>20</v>
      </c>
      <c r="R227" s="35">
        <v>0.17</v>
      </c>
      <c r="S227" s="29">
        <v>3.1777E-2</v>
      </c>
      <c r="T227" s="29">
        <v>3.7090161500000001</v>
      </c>
      <c r="U227" s="29">
        <v>98.685000000000002</v>
      </c>
    </row>
    <row r="228" spans="7:21">
      <c r="G228" s="32">
        <v>20231215</v>
      </c>
      <c r="H228" s="32" t="s">
        <v>2391</v>
      </c>
      <c r="I228" s="33" t="s">
        <v>2392</v>
      </c>
      <c r="J228" s="2" t="s">
        <v>2393</v>
      </c>
      <c r="K228" s="2" t="s">
        <v>1723</v>
      </c>
      <c r="L228" s="2" t="s">
        <v>1724</v>
      </c>
      <c r="M228" s="29">
        <v>23450</v>
      </c>
      <c r="N228" s="29">
        <v>24000</v>
      </c>
      <c r="O228" s="29">
        <v>23450</v>
      </c>
      <c r="P228" s="29">
        <v>23860</v>
      </c>
      <c r="Q228" s="29">
        <v>410</v>
      </c>
      <c r="R228" s="35">
        <v>1.75</v>
      </c>
      <c r="S228" s="29">
        <v>3.1584000000000001E-2</v>
      </c>
      <c r="T228" s="29">
        <v>7.5277167</v>
      </c>
      <c r="U228" s="29">
        <v>1364.7919999999999</v>
      </c>
    </row>
    <row r="229" spans="7:21">
      <c r="G229" s="32">
        <v>20231215</v>
      </c>
      <c r="H229" s="32" t="s">
        <v>2394</v>
      </c>
      <c r="I229" s="33" t="s">
        <v>2395</v>
      </c>
      <c r="J229" s="2" t="s">
        <v>2396</v>
      </c>
      <c r="K229" s="2" t="s">
        <v>1723</v>
      </c>
      <c r="L229" s="2" t="s">
        <v>1724</v>
      </c>
      <c r="M229" s="29">
        <v>34155</v>
      </c>
      <c r="N229" s="29">
        <v>34610</v>
      </c>
      <c r="O229" s="29">
        <v>34155</v>
      </c>
      <c r="P229" s="29">
        <v>34355</v>
      </c>
      <c r="Q229" s="29">
        <v>200</v>
      </c>
      <c r="R229" s="35">
        <v>0.59</v>
      </c>
      <c r="S229" s="29">
        <v>3.1521E-2</v>
      </c>
      <c r="T229" s="29">
        <v>10.8805266</v>
      </c>
      <c r="U229" s="29">
        <v>2782.7550000000001</v>
      </c>
    </row>
    <row r="230" spans="7:21">
      <c r="G230" s="32">
        <v>20231215</v>
      </c>
      <c r="H230" s="32" t="s">
        <v>2397</v>
      </c>
      <c r="I230" s="33" t="s">
        <v>2398</v>
      </c>
      <c r="J230" s="2" t="s">
        <v>2399</v>
      </c>
      <c r="K230" s="2" t="s">
        <v>1723</v>
      </c>
      <c r="L230" s="2" t="s">
        <v>1724</v>
      </c>
      <c r="M230" s="29">
        <v>9995</v>
      </c>
      <c r="N230" s="29">
        <v>10040</v>
      </c>
      <c r="O230" s="29">
        <v>9995</v>
      </c>
      <c r="P230" s="29">
        <v>10035</v>
      </c>
      <c r="Q230" s="29">
        <v>40</v>
      </c>
      <c r="R230" s="35">
        <v>0.4</v>
      </c>
      <c r="S230" s="29">
        <v>3.1175000000000001E-2</v>
      </c>
      <c r="T230" s="29">
        <v>3.12350825</v>
      </c>
      <c r="U230" s="29">
        <v>98.343000000000004</v>
      </c>
    </row>
    <row r="231" spans="7:21">
      <c r="G231" s="32">
        <v>20231215</v>
      </c>
      <c r="H231" s="32" t="s">
        <v>2400</v>
      </c>
      <c r="I231" s="33" t="s">
        <v>2401</v>
      </c>
      <c r="J231" s="2" t="s">
        <v>2402</v>
      </c>
      <c r="K231" s="2" t="s">
        <v>1723</v>
      </c>
      <c r="L231" s="2" t="s">
        <v>1724</v>
      </c>
      <c r="M231" s="29">
        <v>15450</v>
      </c>
      <c r="N231" s="29">
        <v>15845</v>
      </c>
      <c r="O231" s="29">
        <v>15450</v>
      </c>
      <c r="P231" s="29">
        <v>15640</v>
      </c>
      <c r="Q231" s="29">
        <v>255</v>
      </c>
      <c r="R231" s="35">
        <v>1.66</v>
      </c>
      <c r="S231" s="29">
        <v>3.0411000000000001E-2</v>
      </c>
      <c r="T231" s="29">
        <v>4.7747305500000001</v>
      </c>
      <c r="U231" s="29">
        <v>187.68</v>
      </c>
    </row>
    <row r="232" spans="7:21">
      <c r="G232" s="32">
        <v>20231215</v>
      </c>
      <c r="H232" s="32" t="s">
        <v>2403</v>
      </c>
      <c r="I232" s="33" t="s">
        <v>2404</v>
      </c>
      <c r="J232" s="2" t="s">
        <v>2405</v>
      </c>
      <c r="K232" s="2" t="s">
        <v>1723</v>
      </c>
      <c r="L232" s="2" t="s">
        <v>1724</v>
      </c>
      <c r="M232" s="29">
        <v>7110</v>
      </c>
      <c r="N232" s="29">
        <v>7330</v>
      </c>
      <c r="O232" s="29">
        <v>7105</v>
      </c>
      <c r="P232" s="29">
        <v>7330</v>
      </c>
      <c r="Q232" s="29">
        <v>500</v>
      </c>
      <c r="R232" s="35">
        <v>7.32</v>
      </c>
      <c r="S232" s="29">
        <v>3.0254E-2</v>
      </c>
      <c r="T232" s="29">
        <v>2.2079333999999999</v>
      </c>
      <c r="U232" s="29">
        <v>87.96</v>
      </c>
    </row>
    <row r="233" spans="7:21">
      <c r="G233" s="32">
        <v>20231215</v>
      </c>
      <c r="H233" s="32" t="s">
        <v>2406</v>
      </c>
      <c r="I233" s="33" t="s">
        <v>2407</v>
      </c>
      <c r="J233" s="2" t="s">
        <v>2408</v>
      </c>
      <c r="K233" s="2" t="s">
        <v>1723</v>
      </c>
      <c r="L233" s="2" t="s">
        <v>1724</v>
      </c>
      <c r="M233" s="29">
        <v>8780</v>
      </c>
      <c r="N233" s="29">
        <v>8805</v>
      </c>
      <c r="O233" s="29">
        <v>8770</v>
      </c>
      <c r="P233" s="29">
        <v>8800</v>
      </c>
      <c r="Q233" s="29">
        <v>-90</v>
      </c>
      <c r="R233" s="35">
        <v>-1.01</v>
      </c>
      <c r="S233" s="29">
        <v>2.9652999999999999E-2</v>
      </c>
      <c r="T233" s="29">
        <v>2.6059126500000001</v>
      </c>
      <c r="U233" s="29">
        <v>743.6</v>
      </c>
    </row>
    <row r="234" spans="7:21">
      <c r="G234" s="32">
        <v>20231215</v>
      </c>
      <c r="H234" s="32" t="s">
        <v>2409</v>
      </c>
      <c r="I234" s="33" t="s">
        <v>2410</v>
      </c>
      <c r="J234" s="2" t="s">
        <v>2411</v>
      </c>
      <c r="K234" s="2" t="s">
        <v>1723</v>
      </c>
      <c r="L234" s="2" t="s">
        <v>1724</v>
      </c>
      <c r="M234" s="29">
        <v>14900</v>
      </c>
      <c r="N234" s="29">
        <v>15100</v>
      </c>
      <c r="O234" s="29">
        <v>14740</v>
      </c>
      <c r="P234" s="29">
        <v>14800</v>
      </c>
      <c r="Q234" s="29">
        <v>20</v>
      </c>
      <c r="R234" s="35">
        <v>0.14000000000000001</v>
      </c>
      <c r="S234" s="29">
        <v>2.9401E-2</v>
      </c>
      <c r="T234" s="29">
        <v>4.3430537999999999</v>
      </c>
      <c r="U234" s="29">
        <v>370</v>
      </c>
    </row>
    <row r="235" spans="7:21">
      <c r="G235" s="32">
        <v>20231215</v>
      </c>
      <c r="H235" s="32" t="s">
        <v>2412</v>
      </c>
      <c r="I235" s="33" t="s">
        <v>2413</v>
      </c>
      <c r="J235" s="2" t="s">
        <v>2414</v>
      </c>
      <c r="K235" s="2" t="s">
        <v>1723</v>
      </c>
      <c r="L235" s="2" t="s">
        <v>1724</v>
      </c>
      <c r="M235" s="29">
        <v>11845</v>
      </c>
      <c r="N235" s="29">
        <v>11845</v>
      </c>
      <c r="O235" s="29">
        <v>11690</v>
      </c>
      <c r="P235" s="29">
        <v>11740</v>
      </c>
      <c r="Q235" s="29">
        <v>55</v>
      </c>
      <c r="R235" s="35">
        <v>0.47</v>
      </c>
      <c r="S235" s="29">
        <v>2.8409E-2</v>
      </c>
      <c r="T235" s="29">
        <v>3.3279059000000002</v>
      </c>
      <c r="U235" s="29">
        <v>240.67</v>
      </c>
    </row>
    <row r="236" spans="7:21">
      <c r="G236" s="32">
        <v>20231215</v>
      </c>
      <c r="H236" s="32" t="s">
        <v>2415</v>
      </c>
      <c r="I236" s="33" t="s">
        <v>2416</v>
      </c>
      <c r="J236" s="2" t="s">
        <v>2417</v>
      </c>
      <c r="K236" s="2" t="s">
        <v>1723</v>
      </c>
      <c r="L236" s="2" t="s">
        <v>1724</v>
      </c>
      <c r="M236" s="29">
        <v>4310</v>
      </c>
      <c r="N236" s="29">
        <v>4315</v>
      </c>
      <c r="O236" s="29">
        <v>4260</v>
      </c>
      <c r="P236" s="29">
        <v>4290</v>
      </c>
      <c r="Q236" s="29">
        <v>-5</v>
      </c>
      <c r="R236" s="35">
        <v>-0.12</v>
      </c>
      <c r="S236" s="29">
        <v>2.8353E-2</v>
      </c>
      <c r="T236" s="29">
        <v>1.2136254500000001</v>
      </c>
      <c r="U236" s="29">
        <v>231.66</v>
      </c>
    </row>
    <row r="237" spans="7:21">
      <c r="G237" s="32">
        <v>20231215</v>
      </c>
      <c r="H237" s="32" t="s">
        <v>2418</v>
      </c>
      <c r="I237" s="33" t="s">
        <v>2419</v>
      </c>
      <c r="J237" s="2" t="s">
        <v>2420</v>
      </c>
      <c r="K237" s="2" t="s">
        <v>1723</v>
      </c>
      <c r="L237" s="2" t="s">
        <v>1724</v>
      </c>
      <c r="M237" s="29">
        <v>19870</v>
      </c>
      <c r="N237" s="29">
        <v>19910</v>
      </c>
      <c r="O237" s="29">
        <v>19865</v>
      </c>
      <c r="P237" s="29">
        <v>19900</v>
      </c>
      <c r="Q237" s="29">
        <v>-120</v>
      </c>
      <c r="R237" s="35">
        <v>-0.6</v>
      </c>
      <c r="S237" s="29">
        <v>2.7630999999999999E-2</v>
      </c>
      <c r="T237" s="29">
        <v>5.4961988000000002</v>
      </c>
      <c r="U237" s="29">
        <v>1373.1</v>
      </c>
    </row>
    <row r="238" spans="7:21">
      <c r="G238" s="32">
        <v>20231215</v>
      </c>
      <c r="H238" s="32" t="s">
        <v>2421</v>
      </c>
      <c r="I238" s="33" t="s">
        <v>2422</v>
      </c>
      <c r="J238" s="2" t="s">
        <v>2423</v>
      </c>
      <c r="K238" s="2" t="s">
        <v>1723</v>
      </c>
      <c r="L238" s="2" t="s">
        <v>1724</v>
      </c>
      <c r="M238" s="29">
        <v>50295</v>
      </c>
      <c r="N238" s="29">
        <v>50305</v>
      </c>
      <c r="O238" s="29">
        <v>50295</v>
      </c>
      <c r="P238" s="29">
        <v>50305</v>
      </c>
      <c r="Q238" s="29">
        <v>10</v>
      </c>
      <c r="R238" s="35">
        <v>0.02</v>
      </c>
      <c r="S238" s="29">
        <v>2.7446000000000002E-2</v>
      </c>
      <c r="T238" s="29">
        <v>13.806483249999999</v>
      </c>
      <c r="U238" s="29">
        <v>816.95320000000004</v>
      </c>
    </row>
    <row r="239" spans="7:21">
      <c r="G239" s="32">
        <v>20231215</v>
      </c>
      <c r="H239" s="32" t="s">
        <v>2424</v>
      </c>
      <c r="I239" s="33" t="s">
        <v>2425</v>
      </c>
      <c r="J239" s="2" t="s">
        <v>2426</v>
      </c>
      <c r="K239" s="2" t="s">
        <v>1723</v>
      </c>
      <c r="L239" s="2" t="s">
        <v>1724</v>
      </c>
      <c r="M239" s="29">
        <v>11765</v>
      </c>
      <c r="N239" s="29">
        <v>11795</v>
      </c>
      <c r="O239" s="29">
        <v>11750</v>
      </c>
      <c r="P239" s="29">
        <v>11765</v>
      </c>
      <c r="Q239" s="29">
        <v>25</v>
      </c>
      <c r="R239" s="35">
        <v>0.21</v>
      </c>
      <c r="S239" s="29">
        <v>2.7345000000000001E-2</v>
      </c>
      <c r="T239" s="29">
        <v>3.2176800499999998</v>
      </c>
      <c r="U239" s="29">
        <v>1482.39</v>
      </c>
    </row>
    <row r="240" spans="7:21">
      <c r="G240" s="32">
        <v>20231215</v>
      </c>
      <c r="H240" s="32" t="s">
        <v>2427</v>
      </c>
      <c r="I240" s="33" t="s">
        <v>2428</v>
      </c>
      <c r="J240" s="2" t="s">
        <v>2429</v>
      </c>
      <c r="K240" s="2" t="s">
        <v>1723</v>
      </c>
      <c r="L240" s="2" t="s">
        <v>1724</v>
      </c>
      <c r="M240" s="29">
        <v>10300</v>
      </c>
      <c r="N240" s="29">
        <v>10340</v>
      </c>
      <c r="O240" s="29">
        <v>10290</v>
      </c>
      <c r="P240" s="29">
        <v>10315</v>
      </c>
      <c r="Q240" s="29">
        <v>-10</v>
      </c>
      <c r="R240" s="35">
        <v>-0.1</v>
      </c>
      <c r="S240" s="29">
        <v>2.6922999999999999E-2</v>
      </c>
      <c r="T240" s="29">
        <v>2.77455075</v>
      </c>
      <c r="U240" s="29">
        <v>3308.0205000000001</v>
      </c>
    </row>
    <row r="241" spans="7:21">
      <c r="G241" s="32">
        <v>20231215</v>
      </c>
      <c r="H241" s="32" t="s">
        <v>2430</v>
      </c>
      <c r="I241" s="33" t="s">
        <v>2431</v>
      </c>
      <c r="J241" s="2" t="s">
        <v>2432</v>
      </c>
      <c r="K241" s="2" t="s">
        <v>1723</v>
      </c>
      <c r="L241" s="2" t="s">
        <v>1724</v>
      </c>
      <c r="M241" s="29">
        <v>16870</v>
      </c>
      <c r="N241" s="29">
        <v>16925</v>
      </c>
      <c r="O241" s="29">
        <v>16840</v>
      </c>
      <c r="P241" s="29">
        <v>16875</v>
      </c>
      <c r="Q241" s="29">
        <v>240</v>
      </c>
      <c r="R241" s="35">
        <v>1.44</v>
      </c>
      <c r="S241" s="29">
        <v>2.6821999999999999E-2</v>
      </c>
      <c r="T241" s="29">
        <v>4.5268363000000003</v>
      </c>
      <c r="U241" s="29">
        <v>1620</v>
      </c>
    </row>
    <row r="242" spans="7:21">
      <c r="G242" s="32">
        <v>20231215</v>
      </c>
      <c r="H242" s="32" t="s">
        <v>2433</v>
      </c>
      <c r="I242" s="33" t="s">
        <v>2434</v>
      </c>
      <c r="J242" s="2" t="s">
        <v>2435</v>
      </c>
      <c r="K242" s="2" t="s">
        <v>1723</v>
      </c>
      <c r="L242" s="2" t="s">
        <v>1724</v>
      </c>
      <c r="M242" s="29">
        <v>18050</v>
      </c>
      <c r="N242" s="29">
        <v>18300</v>
      </c>
      <c r="O242" s="29">
        <v>18030</v>
      </c>
      <c r="P242" s="29">
        <v>18165</v>
      </c>
      <c r="Q242" s="29">
        <v>0</v>
      </c>
      <c r="R242" s="35">
        <v>0</v>
      </c>
      <c r="S242" s="29">
        <v>2.6734000000000001E-2</v>
      </c>
      <c r="T242" s="29">
        <v>4.8733316499999999</v>
      </c>
      <c r="U242" s="29">
        <v>1961.82</v>
      </c>
    </row>
    <row r="243" spans="7:21">
      <c r="G243" s="32">
        <v>20231215</v>
      </c>
      <c r="H243" s="32" t="s">
        <v>2436</v>
      </c>
      <c r="I243" s="33" t="s">
        <v>2437</v>
      </c>
      <c r="J243" s="2" t="s">
        <v>2438</v>
      </c>
      <c r="K243" s="2" t="s">
        <v>1723</v>
      </c>
      <c r="L243" s="2" t="s">
        <v>1724</v>
      </c>
      <c r="M243" s="29">
        <v>8660</v>
      </c>
      <c r="N243" s="29">
        <v>8660</v>
      </c>
      <c r="O243" s="29">
        <v>8625</v>
      </c>
      <c r="P243" s="29">
        <v>8640</v>
      </c>
      <c r="Q243" s="29">
        <v>15</v>
      </c>
      <c r="R243" s="35">
        <v>0.17</v>
      </c>
      <c r="S243" s="29">
        <v>2.6477000000000001E-2</v>
      </c>
      <c r="T243" s="29">
        <v>2.2893319999999999</v>
      </c>
      <c r="U243" s="29">
        <v>224.64</v>
      </c>
    </row>
    <row r="244" spans="7:21">
      <c r="G244" s="32">
        <v>20231215</v>
      </c>
      <c r="H244" s="32" t="s">
        <v>2439</v>
      </c>
      <c r="I244" s="33" t="s">
        <v>2440</v>
      </c>
      <c r="J244" s="2" t="s">
        <v>2441</v>
      </c>
      <c r="K244" s="2" t="s">
        <v>1723</v>
      </c>
      <c r="L244" s="2" t="s">
        <v>1724</v>
      </c>
      <c r="M244" s="29">
        <v>13385</v>
      </c>
      <c r="N244" s="29">
        <v>13470</v>
      </c>
      <c r="O244" s="29">
        <v>13235</v>
      </c>
      <c r="P244" s="29">
        <v>13325</v>
      </c>
      <c r="Q244" s="29">
        <v>5</v>
      </c>
      <c r="R244" s="35">
        <v>0.04</v>
      </c>
      <c r="S244" s="29">
        <v>2.6367000000000002E-2</v>
      </c>
      <c r="T244" s="29">
        <v>3.5149949999999999</v>
      </c>
      <c r="U244" s="29">
        <v>972.72500000000002</v>
      </c>
    </row>
    <row r="245" spans="7:21">
      <c r="G245" s="32">
        <v>20231215</v>
      </c>
      <c r="H245" s="32" t="s">
        <v>2442</v>
      </c>
      <c r="I245" s="33" t="s">
        <v>2443</v>
      </c>
      <c r="J245" s="2" t="s">
        <v>2444</v>
      </c>
      <c r="K245" s="2" t="s">
        <v>1723</v>
      </c>
      <c r="L245" s="2" t="s">
        <v>1724</v>
      </c>
      <c r="M245" s="29">
        <v>12760</v>
      </c>
      <c r="N245" s="29">
        <v>12760</v>
      </c>
      <c r="O245" s="29">
        <v>12705</v>
      </c>
      <c r="P245" s="29">
        <v>12755</v>
      </c>
      <c r="Q245" s="29">
        <v>-5</v>
      </c>
      <c r="R245" s="35">
        <v>-0.04</v>
      </c>
      <c r="S245" s="29">
        <v>2.6197999999999999E-2</v>
      </c>
      <c r="T245" s="29">
        <v>3.3362109000000002</v>
      </c>
      <c r="U245" s="29">
        <v>548.46500000000003</v>
      </c>
    </row>
    <row r="246" spans="7:21">
      <c r="G246" s="32">
        <v>20231215</v>
      </c>
      <c r="H246" s="32" t="s">
        <v>2445</v>
      </c>
      <c r="I246" s="33" t="s">
        <v>2446</v>
      </c>
      <c r="J246" s="2" t="s">
        <v>2447</v>
      </c>
      <c r="K246" s="2" t="s">
        <v>1723</v>
      </c>
      <c r="L246" s="2" t="s">
        <v>1724</v>
      </c>
      <c r="M246" s="29">
        <v>8135</v>
      </c>
      <c r="N246" s="29">
        <v>8135</v>
      </c>
      <c r="O246" s="29">
        <v>8070</v>
      </c>
      <c r="P246" s="29">
        <v>8080</v>
      </c>
      <c r="Q246" s="29">
        <v>-10</v>
      </c>
      <c r="R246" s="35">
        <v>-0.12</v>
      </c>
      <c r="S246" s="29">
        <v>2.6107999999999999E-2</v>
      </c>
      <c r="T246" s="29">
        <v>2.1134133500000001</v>
      </c>
      <c r="U246" s="29">
        <v>121.2</v>
      </c>
    </row>
    <row r="247" spans="7:21">
      <c r="G247" s="32">
        <v>20231215</v>
      </c>
      <c r="H247" s="32" t="s">
        <v>2448</v>
      </c>
      <c r="I247" s="33" t="s">
        <v>2449</v>
      </c>
      <c r="J247" s="2" t="s">
        <v>2450</v>
      </c>
      <c r="K247" s="2" t="s">
        <v>1723</v>
      </c>
      <c r="L247" s="2" t="s">
        <v>1724</v>
      </c>
      <c r="M247" s="29">
        <v>12065</v>
      </c>
      <c r="N247" s="29">
        <v>12065</v>
      </c>
      <c r="O247" s="29">
        <v>11855</v>
      </c>
      <c r="P247" s="29">
        <v>11900</v>
      </c>
      <c r="Q247" s="29">
        <v>10</v>
      </c>
      <c r="R247" s="35">
        <v>0.08</v>
      </c>
      <c r="S247" s="29">
        <v>2.5613E-2</v>
      </c>
      <c r="T247" s="29">
        <v>3.04201685</v>
      </c>
      <c r="U247" s="29">
        <v>154.69999999999999</v>
      </c>
    </row>
    <row r="248" spans="7:21">
      <c r="G248" s="32">
        <v>20231215</v>
      </c>
      <c r="H248" s="32" t="s">
        <v>2451</v>
      </c>
      <c r="I248" s="33" t="s">
        <v>2452</v>
      </c>
      <c r="J248" s="2" t="s">
        <v>2453</v>
      </c>
      <c r="K248" s="2" t="s">
        <v>1723</v>
      </c>
      <c r="L248" s="2" t="s">
        <v>1724</v>
      </c>
      <c r="M248" s="29">
        <v>12015</v>
      </c>
      <c r="N248" s="29">
        <v>12080</v>
      </c>
      <c r="O248" s="29">
        <v>12015</v>
      </c>
      <c r="P248" s="29">
        <v>12080</v>
      </c>
      <c r="Q248" s="29">
        <v>5</v>
      </c>
      <c r="R248" s="35">
        <v>0.04</v>
      </c>
      <c r="S248" s="29">
        <v>2.5602E-2</v>
      </c>
      <c r="T248" s="29">
        <v>3.0897934500000002</v>
      </c>
      <c r="U248" s="29">
        <v>241.6</v>
      </c>
    </row>
    <row r="249" spans="7:21">
      <c r="G249" s="32">
        <v>20231215</v>
      </c>
      <c r="H249" s="32" t="s">
        <v>2454</v>
      </c>
      <c r="I249" s="33" t="s">
        <v>2455</v>
      </c>
      <c r="J249" s="2" t="s">
        <v>2456</v>
      </c>
      <c r="K249" s="2" t="s">
        <v>1723</v>
      </c>
      <c r="L249" s="2" t="s">
        <v>1724</v>
      </c>
      <c r="M249" s="29">
        <v>10985</v>
      </c>
      <c r="N249" s="29">
        <v>11030</v>
      </c>
      <c r="O249" s="29">
        <v>10980</v>
      </c>
      <c r="P249" s="29">
        <v>10985</v>
      </c>
      <c r="Q249" s="29">
        <v>5</v>
      </c>
      <c r="R249" s="35">
        <v>0.05</v>
      </c>
      <c r="S249" s="29">
        <v>2.5090999999999999E-2</v>
      </c>
      <c r="T249" s="29">
        <v>2.7592229000000001</v>
      </c>
      <c r="U249" s="29">
        <v>362.505</v>
      </c>
    </row>
    <row r="250" spans="7:21">
      <c r="G250" s="32">
        <v>20231215</v>
      </c>
      <c r="H250" s="32" t="s">
        <v>2457</v>
      </c>
      <c r="I250" s="33" t="s">
        <v>2458</v>
      </c>
      <c r="J250" s="2" t="s">
        <v>2459</v>
      </c>
      <c r="K250" s="2" t="s">
        <v>1723</v>
      </c>
      <c r="L250" s="2" t="s">
        <v>1724</v>
      </c>
      <c r="M250" s="29">
        <v>108860</v>
      </c>
      <c r="N250" s="29">
        <v>108875</v>
      </c>
      <c r="O250" s="29">
        <v>108860</v>
      </c>
      <c r="P250" s="29">
        <v>108870</v>
      </c>
      <c r="Q250" s="29">
        <v>80</v>
      </c>
      <c r="R250" s="35">
        <v>7.0000000000000007E-2</v>
      </c>
      <c r="S250" s="29">
        <v>2.4688999999999999E-2</v>
      </c>
      <c r="T250" s="29">
        <v>26.87911635</v>
      </c>
      <c r="U250" s="29">
        <v>11081.8773</v>
      </c>
    </row>
    <row r="251" spans="7:21">
      <c r="G251" s="32">
        <v>20231215</v>
      </c>
      <c r="H251" s="32" t="s">
        <v>2460</v>
      </c>
      <c r="I251" s="33" t="s">
        <v>2461</v>
      </c>
      <c r="J251" s="2" t="s">
        <v>2462</v>
      </c>
      <c r="K251" s="2" t="s">
        <v>1723</v>
      </c>
      <c r="L251" s="2" t="s">
        <v>1724</v>
      </c>
      <c r="M251" s="29">
        <v>8055</v>
      </c>
      <c r="N251" s="29">
        <v>8305</v>
      </c>
      <c r="O251" s="29">
        <v>8055</v>
      </c>
      <c r="P251" s="29">
        <v>8265</v>
      </c>
      <c r="Q251" s="29">
        <v>215</v>
      </c>
      <c r="R251" s="35">
        <v>2.67</v>
      </c>
      <c r="S251" s="29">
        <v>2.4518000000000002E-2</v>
      </c>
      <c r="T251" s="29">
        <v>2.00301755</v>
      </c>
      <c r="U251" s="29">
        <v>615.74249999999995</v>
      </c>
    </row>
    <row r="252" spans="7:21">
      <c r="G252" s="32">
        <v>20231215</v>
      </c>
      <c r="H252" s="32" t="s">
        <v>2463</v>
      </c>
      <c r="I252" s="33" t="s">
        <v>2464</v>
      </c>
      <c r="J252" s="2" t="s">
        <v>2465</v>
      </c>
      <c r="K252" s="2" t="s">
        <v>1723</v>
      </c>
      <c r="L252" s="2" t="s">
        <v>1724</v>
      </c>
      <c r="M252" s="29">
        <v>10105</v>
      </c>
      <c r="N252" s="29">
        <v>10115</v>
      </c>
      <c r="O252" s="29">
        <v>10085</v>
      </c>
      <c r="P252" s="29">
        <v>10115</v>
      </c>
      <c r="Q252" s="29">
        <v>0</v>
      </c>
      <c r="R252" s="35">
        <v>0</v>
      </c>
      <c r="S252" s="29">
        <v>2.3893000000000001E-2</v>
      </c>
      <c r="T252" s="29">
        <v>2.4137347</v>
      </c>
      <c r="U252" s="29">
        <v>1024.6495</v>
      </c>
    </row>
    <row r="253" spans="7:21">
      <c r="G253" s="32">
        <v>20231215</v>
      </c>
      <c r="H253" s="32" t="s">
        <v>2466</v>
      </c>
      <c r="I253" s="33" t="s">
        <v>2467</v>
      </c>
      <c r="J253" s="2" t="s">
        <v>2468</v>
      </c>
      <c r="K253" s="2" t="s">
        <v>1723</v>
      </c>
      <c r="L253" s="2" t="s">
        <v>1724</v>
      </c>
      <c r="M253" s="29">
        <v>10330</v>
      </c>
      <c r="N253" s="29">
        <v>10430</v>
      </c>
      <c r="O253" s="29">
        <v>10330</v>
      </c>
      <c r="P253" s="29">
        <v>10425</v>
      </c>
      <c r="Q253" s="29">
        <v>-130</v>
      </c>
      <c r="R253" s="35">
        <v>-1.23</v>
      </c>
      <c r="S253" s="29">
        <v>2.3567999999999999E-2</v>
      </c>
      <c r="T253" s="29">
        <v>2.4477587000000001</v>
      </c>
      <c r="U253" s="29">
        <v>72.974999999999994</v>
      </c>
    </row>
    <row r="254" spans="7:21">
      <c r="G254" s="32">
        <v>20231215</v>
      </c>
      <c r="H254" s="32" t="s">
        <v>2469</v>
      </c>
      <c r="I254" s="33" t="s">
        <v>2470</v>
      </c>
      <c r="J254" s="2" t="s">
        <v>2471</v>
      </c>
      <c r="K254" s="2" t="s">
        <v>1723</v>
      </c>
      <c r="L254" s="2" t="s">
        <v>1724</v>
      </c>
      <c r="M254" s="29">
        <v>7990</v>
      </c>
      <c r="N254" s="29">
        <v>8090</v>
      </c>
      <c r="O254" s="29">
        <v>7860</v>
      </c>
      <c r="P254" s="29">
        <v>8030</v>
      </c>
      <c r="Q254" s="29">
        <v>155</v>
      </c>
      <c r="R254" s="35">
        <v>1.97</v>
      </c>
      <c r="S254" s="29">
        <v>2.3504000000000001E-2</v>
      </c>
      <c r="T254" s="29">
        <v>1.88179045</v>
      </c>
      <c r="U254" s="29">
        <v>385.44</v>
      </c>
    </row>
    <row r="255" spans="7:21">
      <c r="G255" s="32">
        <v>20231215</v>
      </c>
      <c r="H255" s="32" t="s">
        <v>2472</v>
      </c>
      <c r="I255" s="33" t="s">
        <v>2473</v>
      </c>
      <c r="J255" s="2" t="s">
        <v>2474</v>
      </c>
      <c r="K255" s="2" t="s">
        <v>1723</v>
      </c>
      <c r="L255" s="2" t="s">
        <v>1724</v>
      </c>
      <c r="M255" s="29">
        <v>49035</v>
      </c>
      <c r="N255" s="29">
        <v>49155</v>
      </c>
      <c r="O255" s="29">
        <v>48980</v>
      </c>
      <c r="P255" s="29">
        <v>49130</v>
      </c>
      <c r="Q255" s="29">
        <v>30</v>
      </c>
      <c r="R255" s="35">
        <v>0.06</v>
      </c>
      <c r="S255" s="29">
        <v>2.3501999999999999E-2</v>
      </c>
      <c r="T255" s="29">
        <v>11.52495695</v>
      </c>
      <c r="U255" s="29">
        <v>117.91200000000001</v>
      </c>
    </row>
    <row r="256" spans="7:21">
      <c r="G256" s="32">
        <v>20231215</v>
      </c>
      <c r="H256" s="32" t="s">
        <v>2475</v>
      </c>
      <c r="I256" s="33" t="s">
        <v>2476</v>
      </c>
      <c r="J256" s="2" t="s">
        <v>2477</v>
      </c>
      <c r="K256" s="2" t="s">
        <v>1723</v>
      </c>
      <c r="L256" s="2" t="s">
        <v>1724</v>
      </c>
      <c r="M256" s="29">
        <v>10460</v>
      </c>
      <c r="N256" s="29">
        <v>10480</v>
      </c>
      <c r="O256" s="29">
        <v>10410</v>
      </c>
      <c r="P256" s="29">
        <v>10470</v>
      </c>
      <c r="Q256" s="29">
        <v>10</v>
      </c>
      <c r="R256" s="35">
        <v>0.1</v>
      </c>
      <c r="S256" s="29">
        <v>2.3453000000000002E-2</v>
      </c>
      <c r="T256" s="29">
        <v>2.4520591</v>
      </c>
      <c r="U256" s="29">
        <v>104.7</v>
      </c>
    </row>
    <row r="257" spans="7:21">
      <c r="G257" s="32">
        <v>20231215</v>
      </c>
      <c r="H257" s="32" t="s">
        <v>2478</v>
      </c>
      <c r="I257" s="33" t="s">
        <v>2479</v>
      </c>
      <c r="J257" s="2" t="s">
        <v>2480</v>
      </c>
      <c r="K257" s="2" t="s">
        <v>1723</v>
      </c>
      <c r="L257" s="2" t="s">
        <v>1724</v>
      </c>
      <c r="M257" s="29">
        <v>18500</v>
      </c>
      <c r="N257" s="29">
        <v>18585</v>
      </c>
      <c r="O257" s="29">
        <v>18400</v>
      </c>
      <c r="P257" s="29">
        <v>18520</v>
      </c>
      <c r="Q257" s="29">
        <v>160</v>
      </c>
      <c r="R257" s="35">
        <v>0.87</v>
      </c>
      <c r="S257" s="29">
        <v>2.3444E-2</v>
      </c>
      <c r="T257" s="29">
        <v>4.3306563999999996</v>
      </c>
      <c r="U257" s="29">
        <v>1740.88</v>
      </c>
    </row>
    <row r="258" spans="7:21">
      <c r="G258" s="32">
        <v>20231215</v>
      </c>
      <c r="H258" s="32" t="s">
        <v>2481</v>
      </c>
      <c r="I258" s="33" t="s">
        <v>2482</v>
      </c>
      <c r="J258" s="2" t="s">
        <v>2483</v>
      </c>
      <c r="K258" s="2" t="s">
        <v>1723</v>
      </c>
      <c r="L258" s="2" t="s">
        <v>1724</v>
      </c>
      <c r="M258" s="29">
        <v>9940</v>
      </c>
      <c r="N258" s="29">
        <v>10230</v>
      </c>
      <c r="O258" s="29">
        <v>9940</v>
      </c>
      <c r="P258" s="29">
        <v>9975</v>
      </c>
      <c r="Q258" s="29">
        <v>45</v>
      </c>
      <c r="R258" s="35">
        <v>0.45</v>
      </c>
      <c r="S258" s="29">
        <v>2.2967000000000001E-2</v>
      </c>
      <c r="T258" s="29">
        <v>2.3361176499999998</v>
      </c>
      <c r="U258" s="29">
        <v>199.5</v>
      </c>
    </row>
    <row r="259" spans="7:21">
      <c r="G259" s="32">
        <v>20231215</v>
      </c>
      <c r="H259" s="32" t="s">
        <v>2484</v>
      </c>
      <c r="I259" s="33" t="s">
        <v>2485</v>
      </c>
      <c r="J259" s="2" t="s">
        <v>2486</v>
      </c>
      <c r="K259" s="2" t="s">
        <v>1723</v>
      </c>
      <c r="L259" s="2" t="s">
        <v>1724</v>
      </c>
      <c r="M259" s="29">
        <v>59050</v>
      </c>
      <c r="N259" s="29">
        <v>59050</v>
      </c>
      <c r="O259" s="29">
        <v>58945</v>
      </c>
      <c r="P259" s="29">
        <v>58965</v>
      </c>
      <c r="Q259" s="29">
        <v>-30</v>
      </c>
      <c r="R259" s="35">
        <v>-0.05</v>
      </c>
      <c r="S259" s="29">
        <v>2.2943999999999999E-2</v>
      </c>
      <c r="T259" s="29">
        <v>13.530226900000001</v>
      </c>
      <c r="U259" s="29">
        <v>3068.5385999999999</v>
      </c>
    </row>
    <row r="260" spans="7:21">
      <c r="G260" s="32">
        <v>20231215</v>
      </c>
      <c r="H260" s="32" t="s">
        <v>2487</v>
      </c>
      <c r="I260" s="33" t="s">
        <v>2488</v>
      </c>
      <c r="J260" s="2" t="s">
        <v>2489</v>
      </c>
      <c r="K260" s="2" t="s">
        <v>1723</v>
      </c>
      <c r="L260" s="2" t="s">
        <v>1724</v>
      </c>
      <c r="M260" s="29">
        <v>8940</v>
      </c>
      <c r="N260" s="29">
        <v>9000</v>
      </c>
      <c r="O260" s="29">
        <v>8855</v>
      </c>
      <c r="P260" s="29">
        <v>8855</v>
      </c>
      <c r="Q260" s="29">
        <v>45</v>
      </c>
      <c r="R260" s="35">
        <v>0.51</v>
      </c>
      <c r="S260" s="29">
        <v>2.2862E-2</v>
      </c>
      <c r="T260" s="29">
        <v>2.0357414500000002</v>
      </c>
      <c r="U260" s="29">
        <v>102.718</v>
      </c>
    </row>
    <row r="261" spans="7:21">
      <c r="G261" s="32">
        <v>20231215</v>
      </c>
      <c r="H261" s="32" t="s">
        <v>2490</v>
      </c>
      <c r="I261" s="33" t="s">
        <v>2491</v>
      </c>
      <c r="J261" s="2" t="s">
        <v>2492</v>
      </c>
      <c r="K261" s="2" t="s">
        <v>1723</v>
      </c>
      <c r="L261" s="2" t="s">
        <v>1724</v>
      </c>
      <c r="M261" s="29">
        <v>9945</v>
      </c>
      <c r="N261" s="29">
        <v>9945</v>
      </c>
      <c r="O261" s="29">
        <v>9890</v>
      </c>
      <c r="P261" s="29">
        <v>9910</v>
      </c>
      <c r="Q261" s="29">
        <v>90</v>
      </c>
      <c r="R261" s="35">
        <v>0.92</v>
      </c>
      <c r="S261" s="29">
        <v>2.2717999999999999E-2</v>
      </c>
      <c r="T261" s="29">
        <v>2.2528636500000001</v>
      </c>
      <c r="U261" s="29">
        <v>79.28</v>
      </c>
    </row>
    <row r="262" spans="7:21">
      <c r="G262" s="32">
        <v>20231215</v>
      </c>
      <c r="H262" s="32" t="s">
        <v>2493</v>
      </c>
      <c r="I262" s="33" t="s">
        <v>2494</v>
      </c>
      <c r="J262" s="2" t="s">
        <v>2495</v>
      </c>
      <c r="K262" s="2" t="s">
        <v>1723</v>
      </c>
      <c r="L262" s="2" t="s">
        <v>1724</v>
      </c>
      <c r="M262" s="29">
        <v>9395</v>
      </c>
      <c r="N262" s="29">
        <v>9765</v>
      </c>
      <c r="O262" s="29">
        <v>9395</v>
      </c>
      <c r="P262" s="29">
        <v>9660</v>
      </c>
      <c r="Q262" s="29">
        <v>345</v>
      </c>
      <c r="R262" s="35">
        <v>3.7</v>
      </c>
      <c r="S262" s="29">
        <v>2.2629E-2</v>
      </c>
      <c r="T262" s="29">
        <v>2.1649878500000002</v>
      </c>
      <c r="U262" s="29">
        <v>53.13</v>
      </c>
    </row>
    <row r="263" spans="7:21">
      <c r="G263" s="32">
        <v>20231215</v>
      </c>
      <c r="H263" s="32" t="s">
        <v>2496</v>
      </c>
      <c r="I263" s="33" t="s">
        <v>2497</v>
      </c>
      <c r="J263" s="2" t="s">
        <v>2498</v>
      </c>
      <c r="K263" s="2" t="s">
        <v>1723</v>
      </c>
      <c r="L263" s="2" t="s">
        <v>1724</v>
      </c>
      <c r="M263" s="29">
        <v>105480</v>
      </c>
      <c r="N263" s="29">
        <v>105485</v>
      </c>
      <c r="O263" s="29">
        <v>105465</v>
      </c>
      <c r="P263" s="29">
        <v>105485</v>
      </c>
      <c r="Q263" s="29">
        <v>25</v>
      </c>
      <c r="R263" s="35">
        <v>0.02</v>
      </c>
      <c r="S263" s="29">
        <v>2.2622E-2</v>
      </c>
      <c r="T263" s="29">
        <v>23.861909350000001</v>
      </c>
      <c r="U263" s="29">
        <v>6614.9643500000002</v>
      </c>
    </row>
    <row r="264" spans="7:21">
      <c r="G264" s="32">
        <v>20231215</v>
      </c>
      <c r="H264" s="32" t="s">
        <v>2499</v>
      </c>
      <c r="I264" s="33" t="s">
        <v>2500</v>
      </c>
      <c r="J264" s="2" t="s">
        <v>2501</v>
      </c>
      <c r="K264" s="2" t="s">
        <v>1723</v>
      </c>
      <c r="L264" s="2" t="s">
        <v>1724</v>
      </c>
      <c r="M264" s="29">
        <v>6240</v>
      </c>
      <c r="N264" s="29">
        <v>6240</v>
      </c>
      <c r="O264" s="29">
        <v>6115</v>
      </c>
      <c r="P264" s="29">
        <v>6115</v>
      </c>
      <c r="Q264" s="29">
        <v>-75</v>
      </c>
      <c r="R264" s="35">
        <v>-1.21</v>
      </c>
      <c r="S264" s="29">
        <v>2.2449E-2</v>
      </c>
      <c r="T264" s="29">
        <v>1.2968019</v>
      </c>
      <c r="U264" s="29">
        <v>882.39449999999999</v>
      </c>
    </row>
    <row r="265" spans="7:21">
      <c r="G265" s="32">
        <v>20231215</v>
      </c>
      <c r="H265" s="32" t="s">
        <v>2502</v>
      </c>
      <c r="I265" s="33" t="s">
        <v>2503</v>
      </c>
      <c r="J265" s="2" t="s">
        <v>2504</v>
      </c>
      <c r="K265" s="2" t="s">
        <v>1723</v>
      </c>
      <c r="L265" s="2" t="s">
        <v>1724</v>
      </c>
      <c r="M265" s="29">
        <v>3495</v>
      </c>
      <c r="N265" s="29">
        <v>3505</v>
      </c>
      <c r="O265" s="29">
        <v>3495</v>
      </c>
      <c r="P265" s="29">
        <v>3500</v>
      </c>
      <c r="Q265" s="29">
        <v>5</v>
      </c>
      <c r="R265" s="35">
        <v>0.14000000000000001</v>
      </c>
      <c r="S265" s="29">
        <v>2.23E-2</v>
      </c>
      <c r="T265" s="29">
        <v>0.78016065000000001</v>
      </c>
      <c r="U265" s="29">
        <v>64.75</v>
      </c>
    </row>
    <row r="266" spans="7:21">
      <c r="G266" s="32">
        <v>20231215</v>
      </c>
      <c r="H266" s="32" t="s">
        <v>2505</v>
      </c>
      <c r="I266" s="33" t="s">
        <v>2506</v>
      </c>
      <c r="J266" s="2" t="s">
        <v>2507</v>
      </c>
      <c r="K266" s="2" t="s">
        <v>1723</v>
      </c>
      <c r="L266" s="2" t="s">
        <v>1724</v>
      </c>
      <c r="M266" s="29">
        <v>5845</v>
      </c>
      <c r="N266" s="29">
        <v>5885</v>
      </c>
      <c r="O266" s="29">
        <v>5735</v>
      </c>
      <c r="P266" s="29">
        <v>5750</v>
      </c>
      <c r="Q266" s="29">
        <v>520</v>
      </c>
      <c r="R266" s="35">
        <v>9.94</v>
      </c>
      <c r="S266" s="29">
        <v>2.2283000000000001E-2</v>
      </c>
      <c r="T266" s="29">
        <v>1.3017079499999999</v>
      </c>
      <c r="U266" s="29">
        <v>51.75</v>
      </c>
    </row>
    <row r="267" spans="7:21">
      <c r="G267" s="32">
        <v>20231215</v>
      </c>
      <c r="H267" s="32" t="s">
        <v>2508</v>
      </c>
      <c r="I267" s="33" t="s">
        <v>2509</v>
      </c>
      <c r="J267" s="2" t="s">
        <v>2510</v>
      </c>
      <c r="K267" s="2" t="s">
        <v>1723</v>
      </c>
      <c r="L267" s="2" t="s">
        <v>1724</v>
      </c>
      <c r="M267" s="29">
        <v>51330</v>
      </c>
      <c r="N267" s="29">
        <v>51370</v>
      </c>
      <c r="O267" s="29">
        <v>51190</v>
      </c>
      <c r="P267" s="29">
        <v>51300</v>
      </c>
      <c r="Q267" s="29">
        <v>55</v>
      </c>
      <c r="R267" s="35">
        <v>0.11</v>
      </c>
      <c r="S267" s="29">
        <v>2.2092000000000001E-2</v>
      </c>
      <c r="T267" s="29">
        <v>11.330968800000001</v>
      </c>
      <c r="U267" s="29">
        <v>732.56399999999996</v>
      </c>
    </row>
    <row r="268" spans="7:21">
      <c r="G268" s="32">
        <v>20231215</v>
      </c>
      <c r="H268" s="32" t="s">
        <v>2511</v>
      </c>
      <c r="I268" s="33" t="s">
        <v>2512</v>
      </c>
      <c r="J268" s="2" t="s">
        <v>2513</v>
      </c>
      <c r="K268" s="2" t="s">
        <v>1723</v>
      </c>
      <c r="L268" s="2" t="s">
        <v>1724</v>
      </c>
      <c r="M268" s="29">
        <v>114480</v>
      </c>
      <c r="N268" s="29">
        <v>114485</v>
      </c>
      <c r="O268" s="29">
        <v>114135</v>
      </c>
      <c r="P268" s="29">
        <v>114280</v>
      </c>
      <c r="Q268" s="29">
        <v>-200</v>
      </c>
      <c r="R268" s="35">
        <v>-0.17</v>
      </c>
      <c r="S268" s="29">
        <v>2.1930999999999999E-2</v>
      </c>
      <c r="T268" s="29">
        <v>25.059199150000001</v>
      </c>
      <c r="U268" s="29">
        <v>4959.7520000000004</v>
      </c>
    </row>
    <row r="269" spans="7:21">
      <c r="G269" s="32">
        <v>20231215</v>
      </c>
      <c r="H269" s="32" t="s">
        <v>2514</v>
      </c>
      <c r="I269" s="33" t="s">
        <v>2515</v>
      </c>
      <c r="J269" s="2" t="s">
        <v>2516</v>
      </c>
      <c r="K269" s="2" t="s">
        <v>1723</v>
      </c>
      <c r="L269" s="2" t="s">
        <v>1724</v>
      </c>
      <c r="M269" s="29">
        <v>20670</v>
      </c>
      <c r="N269" s="29">
        <v>20675</v>
      </c>
      <c r="O269" s="29">
        <v>20320</v>
      </c>
      <c r="P269" s="29">
        <v>20320</v>
      </c>
      <c r="Q269" s="29">
        <v>-330</v>
      </c>
      <c r="R269" s="35">
        <v>-1.6</v>
      </c>
      <c r="S269" s="29">
        <v>2.1722000000000002E-2</v>
      </c>
      <c r="T269" s="29">
        <v>4.4637296500000003</v>
      </c>
      <c r="U269" s="29">
        <v>106.68</v>
      </c>
    </row>
    <row r="270" spans="7:21">
      <c r="G270" s="32">
        <v>20231215</v>
      </c>
      <c r="H270" s="32" t="s">
        <v>2517</v>
      </c>
      <c r="I270" s="33" t="s">
        <v>2518</v>
      </c>
      <c r="J270" s="2" t="s">
        <v>2519</v>
      </c>
      <c r="K270" s="2" t="s">
        <v>1723</v>
      </c>
      <c r="L270" s="2" t="s">
        <v>1724</v>
      </c>
      <c r="M270" s="29">
        <v>6930</v>
      </c>
      <c r="N270" s="29">
        <v>6955</v>
      </c>
      <c r="O270" s="29">
        <v>6875</v>
      </c>
      <c r="P270" s="29">
        <v>6915</v>
      </c>
      <c r="Q270" s="29">
        <v>-70</v>
      </c>
      <c r="R270" s="35">
        <v>-1</v>
      </c>
      <c r="S270" s="29">
        <v>2.1613E-2</v>
      </c>
      <c r="T270" s="29">
        <v>1.4955856999999999</v>
      </c>
      <c r="U270" s="29">
        <v>45.639000000000003</v>
      </c>
    </row>
    <row r="271" spans="7:21">
      <c r="G271" s="32">
        <v>20231215</v>
      </c>
      <c r="H271" s="32" t="s">
        <v>2520</v>
      </c>
      <c r="I271" s="33" t="s">
        <v>2521</v>
      </c>
      <c r="J271" s="2" t="s">
        <v>2522</v>
      </c>
      <c r="K271" s="2" t="s">
        <v>1723</v>
      </c>
      <c r="L271" s="2" t="s">
        <v>1724</v>
      </c>
      <c r="M271" s="29">
        <v>11380</v>
      </c>
      <c r="N271" s="29">
        <v>11380</v>
      </c>
      <c r="O271" s="29">
        <v>11265</v>
      </c>
      <c r="P271" s="29">
        <v>11325</v>
      </c>
      <c r="Q271" s="29">
        <v>-145</v>
      </c>
      <c r="R271" s="35">
        <v>-1.26</v>
      </c>
      <c r="S271" s="29">
        <v>2.1335E-2</v>
      </c>
      <c r="T271" s="29">
        <v>2.4106106</v>
      </c>
      <c r="U271" s="29">
        <v>181.2</v>
      </c>
    </row>
    <row r="272" spans="7:21">
      <c r="G272" s="32">
        <v>20231215</v>
      </c>
      <c r="H272" s="32" t="s">
        <v>2523</v>
      </c>
      <c r="I272" s="33" t="s">
        <v>2524</v>
      </c>
      <c r="J272" s="2" t="s">
        <v>2525</v>
      </c>
      <c r="K272" s="2" t="s">
        <v>1723</v>
      </c>
      <c r="L272" s="2" t="s">
        <v>1724</v>
      </c>
      <c r="M272" s="29">
        <v>12290</v>
      </c>
      <c r="N272" s="29">
        <v>12360</v>
      </c>
      <c r="O272" s="29">
        <v>12290</v>
      </c>
      <c r="P272" s="29">
        <v>12300</v>
      </c>
      <c r="Q272" s="29">
        <v>50</v>
      </c>
      <c r="R272" s="35">
        <v>0.41</v>
      </c>
      <c r="S272" s="29">
        <v>2.1004999999999999E-2</v>
      </c>
      <c r="T272" s="29">
        <v>2.5879775500000002</v>
      </c>
      <c r="U272" s="29">
        <v>619.91999999999996</v>
      </c>
    </row>
    <row r="273" spans="7:21">
      <c r="G273" s="32">
        <v>20231215</v>
      </c>
      <c r="H273" s="32" t="s">
        <v>2526</v>
      </c>
      <c r="I273" s="33" t="s">
        <v>2527</v>
      </c>
      <c r="J273" s="2" t="s">
        <v>2528</v>
      </c>
      <c r="K273" s="2" t="s">
        <v>1723</v>
      </c>
      <c r="L273" s="2" t="s">
        <v>1724</v>
      </c>
      <c r="M273" s="29">
        <v>22090</v>
      </c>
      <c r="N273" s="29">
        <v>22335</v>
      </c>
      <c r="O273" s="29">
        <v>22085</v>
      </c>
      <c r="P273" s="29">
        <v>22335</v>
      </c>
      <c r="Q273" s="29">
        <v>325</v>
      </c>
      <c r="R273" s="35">
        <v>1.48</v>
      </c>
      <c r="S273" s="29">
        <v>2.0497000000000001E-2</v>
      </c>
      <c r="T273" s="29">
        <v>4.5677418000000003</v>
      </c>
      <c r="U273" s="29">
        <v>781.72500000000002</v>
      </c>
    </row>
    <row r="274" spans="7:21">
      <c r="G274" s="32">
        <v>20231215</v>
      </c>
      <c r="H274" s="32" t="s">
        <v>2529</v>
      </c>
      <c r="I274" s="33" t="s">
        <v>2530</v>
      </c>
      <c r="J274" s="2" t="s">
        <v>2531</v>
      </c>
      <c r="K274" s="2" t="s">
        <v>1723</v>
      </c>
      <c r="L274" s="2" t="s">
        <v>1724</v>
      </c>
      <c r="M274" s="29">
        <v>50230</v>
      </c>
      <c r="N274" s="29">
        <v>50230</v>
      </c>
      <c r="O274" s="29">
        <v>50140</v>
      </c>
      <c r="P274" s="29">
        <v>50170</v>
      </c>
      <c r="Q274" s="29">
        <v>-60</v>
      </c>
      <c r="R274" s="35">
        <v>-0.12</v>
      </c>
      <c r="S274" s="29">
        <v>2.0465000000000001E-2</v>
      </c>
      <c r="T274" s="29">
        <v>10.267790700000001</v>
      </c>
      <c r="U274" s="29">
        <v>3120.5740000000001</v>
      </c>
    </row>
    <row r="275" spans="7:21">
      <c r="G275" s="32">
        <v>20231215</v>
      </c>
      <c r="H275" s="32" t="s">
        <v>2532</v>
      </c>
      <c r="I275" s="33" t="s">
        <v>2533</v>
      </c>
      <c r="J275" s="2" t="s">
        <v>2534</v>
      </c>
      <c r="K275" s="2" t="s">
        <v>1723</v>
      </c>
      <c r="L275" s="2" t="s">
        <v>1724</v>
      </c>
      <c r="M275" s="29">
        <v>4875</v>
      </c>
      <c r="N275" s="29">
        <v>4955</v>
      </c>
      <c r="O275" s="29">
        <v>4875</v>
      </c>
      <c r="P275" s="29">
        <v>4925</v>
      </c>
      <c r="Q275" s="29">
        <v>240</v>
      </c>
      <c r="R275" s="35">
        <v>5.12</v>
      </c>
      <c r="S275" s="29">
        <v>2.0251999999999999E-2</v>
      </c>
      <c r="T275" s="29">
        <v>0.99554359999999997</v>
      </c>
      <c r="U275" s="29">
        <v>61.5625</v>
      </c>
    </row>
    <row r="276" spans="7:21">
      <c r="G276" s="32">
        <v>20231215</v>
      </c>
      <c r="H276" s="32" t="s">
        <v>2535</v>
      </c>
      <c r="I276" s="33" t="s">
        <v>2536</v>
      </c>
      <c r="J276" s="2" t="s">
        <v>2537</v>
      </c>
      <c r="K276" s="2" t="s">
        <v>1723</v>
      </c>
      <c r="L276" s="2" t="s">
        <v>1724</v>
      </c>
      <c r="M276" s="29">
        <v>6660</v>
      </c>
      <c r="N276" s="29">
        <v>6795</v>
      </c>
      <c r="O276" s="29">
        <v>6595</v>
      </c>
      <c r="P276" s="29">
        <v>6695</v>
      </c>
      <c r="Q276" s="29">
        <v>115</v>
      </c>
      <c r="R276" s="35">
        <v>1.75</v>
      </c>
      <c r="S276" s="29">
        <v>2.0250000000000001E-2</v>
      </c>
      <c r="T276" s="29">
        <v>1.2815142500000001</v>
      </c>
      <c r="U276" s="29">
        <v>180.76499999999999</v>
      </c>
    </row>
    <row r="277" spans="7:21">
      <c r="G277" s="32">
        <v>20231215</v>
      </c>
      <c r="H277" s="32" t="s">
        <v>2538</v>
      </c>
      <c r="I277" s="33" t="s">
        <v>2539</v>
      </c>
      <c r="J277" s="2" t="s">
        <v>2540</v>
      </c>
      <c r="K277" s="2" t="s">
        <v>1723</v>
      </c>
      <c r="L277" s="2" t="s">
        <v>1724</v>
      </c>
      <c r="M277" s="29">
        <v>11880</v>
      </c>
      <c r="N277" s="29">
        <v>11890</v>
      </c>
      <c r="O277" s="29">
        <v>11855</v>
      </c>
      <c r="P277" s="29">
        <v>11890</v>
      </c>
      <c r="Q277" s="29">
        <v>0</v>
      </c>
      <c r="R277" s="35">
        <v>0</v>
      </c>
      <c r="S277" s="29">
        <v>2.0168999999999999E-2</v>
      </c>
      <c r="T277" s="29">
        <v>2.3956629500000002</v>
      </c>
      <c r="U277" s="29">
        <v>202.13</v>
      </c>
    </row>
    <row r="278" spans="7:21">
      <c r="G278" s="32">
        <v>20231215</v>
      </c>
      <c r="H278" s="32" t="s">
        <v>2541</v>
      </c>
      <c r="I278" s="33" t="s">
        <v>2542</v>
      </c>
      <c r="J278" s="2" t="s">
        <v>2543</v>
      </c>
      <c r="K278" s="2" t="s">
        <v>1723</v>
      </c>
      <c r="L278" s="2" t="s">
        <v>1724</v>
      </c>
      <c r="M278" s="29">
        <v>50750</v>
      </c>
      <c r="N278" s="29">
        <v>50750</v>
      </c>
      <c r="O278" s="29">
        <v>50740</v>
      </c>
      <c r="P278" s="29">
        <v>50745</v>
      </c>
      <c r="Q278" s="29">
        <v>-5</v>
      </c>
      <c r="R278" s="35">
        <v>-0.01</v>
      </c>
      <c r="S278" s="29">
        <v>2.0153000000000001E-2</v>
      </c>
      <c r="T278" s="29">
        <v>10.227456800000001</v>
      </c>
      <c r="U278" s="29">
        <v>1892.7885000000001</v>
      </c>
    </row>
    <row r="279" spans="7:21">
      <c r="G279" s="32">
        <v>20231215</v>
      </c>
      <c r="H279" s="32" t="s">
        <v>2544</v>
      </c>
      <c r="I279" s="33" t="s">
        <v>2545</v>
      </c>
      <c r="J279" s="2" t="s">
        <v>2546</v>
      </c>
      <c r="K279" s="2" t="s">
        <v>1723</v>
      </c>
      <c r="L279" s="2" t="s">
        <v>1724</v>
      </c>
      <c r="M279" s="29">
        <v>3130</v>
      </c>
      <c r="N279" s="29">
        <v>3135</v>
      </c>
      <c r="O279" s="29">
        <v>3110</v>
      </c>
      <c r="P279" s="29">
        <v>3115</v>
      </c>
      <c r="Q279" s="29">
        <v>-10</v>
      </c>
      <c r="R279" s="35">
        <v>-0.32</v>
      </c>
      <c r="S279" s="29">
        <v>2.0043999999999999E-2</v>
      </c>
      <c r="T279" s="29">
        <v>0.62537374999999995</v>
      </c>
      <c r="U279" s="29">
        <v>52.954999999999998</v>
      </c>
    </row>
    <row r="280" spans="7:21">
      <c r="G280" s="32">
        <v>20231215</v>
      </c>
      <c r="H280" s="32" t="s">
        <v>2547</v>
      </c>
      <c r="I280" s="33" t="s">
        <v>2548</v>
      </c>
      <c r="J280" s="2" t="s">
        <v>2549</v>
      </c>
      <c r="K280" s="2" t="s">
        <v>1723</v>
      </c>
      <c r="L280" s="2" t="s">
        <v>1724</v>
      </c>
      <c r="M280" s="29">
        <v>18480</v>
      </c>
      <c r="N280" s="29">
        <v>18710</v>
      </c>
      <c r="O280" s="29">
        <v>18480</v>
      </c>
      <c r="P280" s="29">
        <v>18570</v>
      </c>
      <c r="Q280" s="29">
        <v>115</v>
      </c>
      <c r="R280" s="35">
        <v>0.62</v>
      </c>
      <c r="S280" s="29">
        <v>1.9990000000000001E-2</v>
      </c>
      <c r="T280" s="29">
        <v>3.72818915</v>
      </c>
      <c r="U280" s="29">
        <v>2330.5349999999999</v>
      </c>
    </row>
    <row r="281" spans="7:21">
      <c r="G281" s="32">
        <v>20231215</v>
      </c>
      <c r="H281" s="32" t="s">
        <v>2550</v>
      </c>
      <c r="I281" s="33" t="s">
        <v>2551</v>
      </c>
      <c r="J281" s="2" t="s">
        <v>2552</v>
      </c>
      <c r="K281" s="2" t="s">
        <v>1723</v>
      </c>
      <c r="L281" s="2" t="s">
        <v>1724</v>
      </c>
      <c r="M281" s="29">
        <v>12180</v>
      </c>
      <c r="N281" s="29">
        <v>12330</v>
      </c>
      <c r="O281" s="29">
        <v>12180</v>
      </c>
      <c r="P281" s="29">
        <v>12220</v>
      </c>
      <c r="Q281" s="29">
        <v>150</v>
      </c>
      <c r="R281" s="35">
        <v>1.24</v>
      </c>
      <c r="S281" s="29">
        <v>1.9975E-2</v>
      </c>
      <c r="T281" s="29">
        <v>2.4567180999999998</v>
      </c>
      <c r="U281" s="29">
        <v>122.2</v>
      </c>
    </row>
    <row r="282" spans="7:21">
      <c r="G282" s="32">
        <v>20231215</v>
      </c>
      <c r="H282" s="32" t="s">
        <v>2553</v>
      </c>
      <c r="I282" s="33" t="s">
        <v>2554</v>
      </c>
      <c r="J282" s="2" t="s">
        <v>2555</v>
      </c>
      <c r="K282" s="2" t="s">
        <v>1723</v>
      </c>
      <c r="L282" s="2" t="s">
        <v>1724</v>
      </c>
      <c r="M282" s="29">
        <v>12125</v>
      </c>
      <c r="N282" s="29">
        <v>12430</v>
      </c>
      <c r="O282" s="29">
        <v>11985</v>
      </c>
      <c r="P282" s="29">
        <v>11985</v>
      </c>
      <c r="Q282" s="29">
        <v>-115</v>
      </c>
      <c r="R282" s="35">
        <v>-0.95</v>
      </c>
      <c r="S282" s="29">
        <v>1.9963000000000002E-2</v>
      </c>
      <c r="T282" s="29">
        <v>2.4114422000000002</v>
      </c>
      <c r="U282" s="29">
        <v>71.91</v>
      </c>
    </row>
    <row r="283" spans="7:21">
      <c r="G283" s="32">
        <v>20231215</v>
      </c>
      <c r="H283" s="32" t="s">
        <v>2556</v>
      </c>
      <c r="I283" s="33" t="s">
        <v>2557</v>
      </c>
      <c r="J283" s="2" t="s">
        <v>2558</v>
      </c>
      <c r="K283" s="2" t="s">
        <v>1723</v>
      </c>
      <c r="L283" s="2" t="s">
        <v>1724</v>
      </c>
      <c r="M283" s="29">
        <v>107970</v>
      </c>
      <c r="N283" s="29">
        <v>107970</v>
      </c>
      <c r="O283" s="29">
        <v>106990</v>
      </c>
      <c r="P283" s="29">
        <v>107100</v>
      </c>
      <c r="Q283" s="29">
        <v>-250</v>
      </c>
      <c r="R283" s="35">
        <v>-0.23</v>
      </c>
      <c r="S283" s="29">
        <v>1.9687E-2</v>
      </c>
      <c r="T283" s="29">
        <v>21.086001549999999</v>
      </c>
      <c r="U283" s="29">
        <v>798.96600000000001</v>
      </c>
    </row>
    <row r="284" spans="7:21">
      <c r="G284" s="32">
        <v>20231215</v>
      </c>
      <c r="H284" s="32" t="s">
        <v>2559</v>
      </c>
      <c r="I284" s="33" t="s">
        <v>2560</v>
      </c>
      <c r="J284" s="2" t="s">
        <v>2561</v>
      </c>
      <c r="K284" s="2" t="s">
        <v>1723</v>
      </c>
      <c r="L284" s="2" t="s">
        <v>1724</v>
      </c>
      <c r="M284" s="29">
        <v>51375</v>
      </c>
      <c r="N284" s="29">
        <v>51375</v>
      </c>
      <c r="O284" s="29">
        <v>51280</v>
      </c>
      <c r="P284" s="29">
        <v>51290</v>
      </c>
      <c r="Q284" s="29">
        <v>-5</v>
      </c>
      <c r="R284" s="35">
        <v>-0.01</v>
      </c>
      <c r="S284" s="29">
        <v>1.9435000000000001E-2</v>
      </c>
      <c r="T284" s="29">
        <v>9.9804148500000007</v>
      </c>
      <c r="U284" s="29">
        <v>523.15800000000002</v>
      </c>
    </row>
    <row r="285" spans="7:21">
      <c r="G285" s="32">
        <v>20231215</v>
      </c>
      <c r="H285" s="32" t="s">
        <v>2562</v>
      </c>
      <c r="I285" s="33" t="s">
        <v>2563</v>
      </c>
      <c r="J285" s="2" t="s">
        <v>2564</v>
      </c>
      <c r="K285" s="2" t="s">
        <v>1723</v>
      </c>
      <c r="L285" s="2" t="s">
        <v>1724</v>
      </c>
      <c r="M285" s="29">
        <v>104870</v>
      </c>
      <c r="N285" s="29">
        <v>104905</v>
      </c>
      <c r="O285" s="29">
        <v>104870</v>
      </c>
      <c r="P285" s="29">
        <v>104905</v>
      </c>
      <c r="Q285" s="29">
        <v>30</v>
      </c>
      <c r="R285" s="35">
        <v>0.03</v>
      </c>
      <c r="S285" s="29">
        <v>1.9175000000000001E-2</v>
      </c>
      <c r="T285" s="29">
        <v>20.11442495</v>
      </c>
      <c r="U285" s="29">
        <v>1655.4009000000001</v>
      </c>
    </row>
    <row r="286" spans="7:21">
      <c r="G286" s="32">
        <v>20231215</v>
      </c>
      <c r="H286" s="32" t="s">
        <v>2565</v>
      </c>
      <c r="I286" s="33" t="s">
        <v>2566</v>
      </c>
      <c r="J286" s="2" t="s">
        <v>2567</v>
      </c>
      <c r="K286" s="2" t="s">
        <v>1723</v>
      </c>
      <c r="L286" s="2" t="s">
        <v>1724</v>
      </c>
      <c r="M286" s="29">
        <v>11595</v>
      </c>
      <c r="N286" s="29">
        <v>11600</v>
      </c>
      <c r="O286" s="29">
        <v>11560</v>
      </c>
      <c r="P286" s="29">
        <v>11560</v>
      </c>
      <c r="Q286" s="29">
        <v>30</v>
      </c>
      <c r="R286" s="35">
        <v>0.26</v>
      </c>
      <c r="S286" s="29">
        <v>1.9023999999999999E-2</v>
      </c>
      <c r="T286" s="29">
        <v>2.2039325000000001</v>
      </c>
      <c r="U286" s="29">
        <v>80.92</v>
      </c>
    </row>
    <row r="287" spans="7:21">
      <c r="G287" s="32">
        <v>20231215</v>
      </c>
      <c r="H287" s="32" t="s">
        <v>2568</v>
      </c>
      <c r="I287" s="33" t="s">
        <v>2569</v>
      </c>
      <c r="J287" s="2" t="s">
        <v>2570</v>
      </c>
      <c r="K287" s="2" t="s">
        <v>1723</v>
      </c>
      <c r="L287" s="2" t="s">
        <v>1724</v>
      </c>
      <c r="M287" s="29">
        <v>10485</v>
      </c>
      <c r="N287" s="29">
        <v>10530</v>
      </c>
      <c r="O287" s="29">
        <v>10475</v>
      </c>
      <c r="P287" s="29">
        <v>10530</v>
      </c>
      <c r="Q287" s="29">
        <v>55</v>
      </c>
      <c r="R287" s="35">
        <v>0.53</v>
      </c>
      <c r="S287" s="29">
        <v>1.8974999999999999E-2</v>
      </c>
      <c r="T287" s="29">
        <v>1.9934818000000001</v>
      </c>
      <c r="U287" s="29">
        <v>342.22500000000002</v>
      </c>
    </row>
    <row r="288" spans="7:21">
      <c r="G288" s="32">
        <v>20231215</v>
      </c>
      <c r="H288" s="32" t="s">
        <v>2571</v>
      </c>
      <c r="I288" s="33" t="s">
        <v>2572</v>
      </c>
      <c r="J288" s="2" t="s">
        <v>2573</v>
      </c>
      <c r="K288" s="2" t="s">
        <v>1723</v>
      </c>
      <c r="L288" s="2" t="s">
        <v>1724</v>
      </c>
      <c r="M288" s="29">
        <v>10365</v>
      </c>
      <c r="N288" s="29">
        <v>10425</v>
      </c>
      <c r="O288" s="29">
        <v>10340</v>
      </c>
      <c r="P288" s="29">
        <v>10425</v>
      </c>
      <c r="Q288" s="29">
        <v>-275</v>
      </c>
      <c r="R288" s="35">
        <v>-2.57</v>
      </c>
      <c r="S288" s="29">
        <v>1.8613999999999999E-2</v>
      </c>
      <c r="T288" s="29">
        <v>1.9257928499999999</v>
      </c>
      <c r="U288" s="29">
        <v>83.4</v>
      </c>
    </row>
    <row r="289" spans="7:21">
      <c r="G289" s="32">
        <v>20231215</v>
      </c>
      <c r="H289" s="32" t="s">
        <v>2574</v>
      </c>
      <c r="I289" s="33" t="s">
        <v>2575</v>
      </c>
      <c r="J289" s="2" t="s">
        <v>2576</v>
      </c>
      <c r="K289" s="2" t="s">
        <v>1723</v>
      </c>
      <c r="L289" s="2" t="s">
        <v>1724</v>
      </c>
      <c r="M289" s="29">
        <v>12310</v>
      </c>
      <c r="N289" s="29">
        <v>12395</v>
      </c>
      <c r="O289" s="29">
        <v>12300</v>
      </c>
      <c r="P289" s="29">
        <v>12335</v>
      </c>
      <c r="Q289" s="29">
        <v>40</v>
      </c>
      <c r="R289" s="35">
        <v>0.33</v>
      </c>
      <c r="S289" s="29">
        <v>1.8238000000000001E-2</v>
      </c>
      <c r="T289" s="29">
        <v>2.2450635499999998</v>
      </c>
      <c r="U289" s="29">
        <v>135.685</v>
      </c>
    </row>
    <row r="290" spans="7:21">
      <c r="G290" s="32">
        <v>20231215</v>
      </c>
      <c r="H290" s="32" t="s">
        <v>2577</v>
      </c>
      <c r="I290" s="33" t="s">
        <v>2578</v>
      </c>
      <c r="J290" s="2" t="s">
        <v>2579</v>
      </c>
      <c r="K290" s="2" t="s">
        <v>1723</v>
      </c>
      <c r="L290" s="2" t="s">
        <v>1724</v>
      </c>
      <c r="M290" s="29">
        <v>8115</v>
      </c>
      <c r="N290" s="29">
        <v>8130</v>
      </c>
      <c r="O290" s="29">
        <v>8060</v>
      </c>
      <c r="P290" s="29">
        <v>8095</v>
      </c>
      <c r="Q290" s="29">
        <v>25</v>
      </c>
      <c r="R290" s="35">
        <v>0.31</v>
      </c>
      <c r="S290" s="29">
        <v>1.7964999999999998E-2</v>
      </c>
      <c r="T290" s="29">
        <v>1.44984205</v>
      </c>
      <c r="U290" s="29">
        <v>356.18</v>
      </c>
    </row>
    <row r="291" spans="7:21">
      <c r="G291" s="32">
        <v>20231215</v>
      </c>
      <c r="H291" s="32" t="s">
        <v>2580</v>
      </c>
      <c r="I291" s="33" t="s">
        <v>2581</v>
      </c>
      <c r="J291" s="2" t="s">
        <v>2582</v>
      </c>
      <c r="K291" s="2" t="s">
        <v>1723</v>
      </c>
      <c r="L291" s="2" t="s">
        <v>1724</v>
      </c>
      <c r="M291" s="29">
        <v>10415</v>
      </c>
      <c r="N291" s="29">
        <v>10770</v>
      </c>
      <c r="O291" s="29">
        <v>10415</v>
      </c>
      <c r="P291" s="29">
        <v>10690</v>
      </c>
      <c r="Q291" s="29">
        <v>-90</v>
      </c>
      <c r="R291" s="35">
        <v>-0.83</v>
      </c>
      <c r="S291" s="29">
        <v>1.7922E-2</v>
      </c>
      <c r="T291" s="29">
        <v>1.9229842500000001</v>
      </c>
      <c r="U291" s="29">
        <v>162.488</v>
      </c>
    </row>
    <row r="292" spans="7:21">
      <c r="G292" s="32">
        <v>20231215</v>
      </c>
      <c r="H292" s="32" t="s">
        <v>2583</v>
      </c>
      <c r="I292" s="33" t="s">
        <v>2584</v>
      </c>
      <c r="J292" s="2" t="s">
        <v>2585</v>
      </c>
      <c r="K292" s="2" t="s">
        <v>1723</v>
      </c>
      <c r="L292" s="2" t="s">
        <v>1724</v>
      </c>
      <c r="M292" s="29">
        <v>12740</v>
      </c>
      <c r="N292" s="29">
        <v>12865</v>
      </c>
      <c r="O292" s="29">
        <v>12620</v>
      </c>
      <c r="P292" s="29">
        <v>12865</v>
      </c>
      <c r="Q292" s="29">
        <v>110</v>
      </c>
      <c r="R292" s="35">
        <v>0.86</v>
      </c>
      <c r="S292" s="29">
        <v>1.7809999999999999E-2</v>
      </c>
      <c r="T292" s="29">
        <v>2.2657335999999999</v>
      </c>
      <c r="U292" s="29">
        <v>385.95</v>
      </c>
    </row>
    <row r="293" spans="7:21">
      <c r="G293" s="32">
        <v>20231215</v>
      </c>
      <c r="H293" s="32" t="s">
        <v>2586</v>
      </c>
      <c r="I293" s="33" t="s">
        <v>2587</v>
      </c>
      <c r="J293" s="2" t="s">
        <v>2588</v>
      </c>
      <c r="K293" s="2" t="s">
        <v>1723</v>
      </c>
      <c r="L293" s="2" t="s">
        <v>1724</v>
      </c>
      <c r="M293" s="29">
        <v>6445</v>
      </c>
      <c r="N293" s="29">
        <v>6520</v>
      </c>
      <c r="O293" s="29">
        <v>6445</v>
      </c>
      <c r="P293" s="29">
        <v>6505</v>
      </c>
      <c r="Q293" s="29">
        <v>90</v>
      </c>
      <c r="R293" s="35">
        <v>1.4</v>
      </c>
      <c r="S293" s="29">
        <v>1.7801999999999998E-2</v>
      </c>
      <c r="T293" s="29">
        <v>1.1558094000000001</v>
      </c>
      <c r="U293" s="29">
        <v>114.488</v>
      </c>
    </row>
    <row r="294" spans="7:21">
      <c r="G294" s="32">
        <v>20231215</v>
      </c>
      <c r="H294" s="32" t="s">
        <v>2589</v>
      </c>
      <c r="I294" s="33" t="s">
        <v>2590</v>
      </c>
      <c r="J294" s="2" t="s">
        <v>2591</v>
      </c>
      <c r="K294" s="2" t="s">
        <v>1723</v>
      </c>
      <c r="L294" s="2" t="s">
        <v>1724</v>
      </c>
      <c r="M294" s="29">
        <v>103750</v>
      </c>
      <c r="N294" s="29">
        <v>103755</v>
      </c>
      <c r="O294" s="29">
        <v>103750</v>
      </c>
      <c r="P294" s="29">
        <v>103755</v>
      </c>
      <c r="Q294" s="29">
        <v>10</v>
      </c>
      <c r="R294" s="35">
        <v>0.01</v>
      </c>
      <c r="S294" s="29">
        <v>1.7722999999999999E-2</v>
      </c>
      <c r="T294" s="29">
        <v>18.38824125</v>
      </c>
      <c r="U294" s="29">
        <v>50402.103900000002</v>
      </c>
    </row>
    <row r="295" spans="7:21">
      <c r="G295" s="32">
        <v>20231215</v>
      </c>
      <c r="H295" s="32" t="s">
        <v>2592</v>
      </c>
      <c r="I295" s="33" t="s">
        <v>2593</v>
      </c>
      <c r="J295" s="2" t="s">
        <v>2594</v>
      </c>
      <c r="K295" s="2" t="s">
        <v>1723</v>
      </c>
      <c r="L295" s="2" t="s">
        <v>1724</v>
      </c>
      <c r="M295" s="29">
        <v>10040</v>
      </c>
      <c r="N295" s="29">
        <v>10195</v>
      </c>
      <c r="O295" s="29">
        <v>10040</v>
      </c>
      <c r="P295" s="29">
        <v>10075</v>
      </c>
      <c r="Q295" s="29">
        <v>35</v>
      </c>
      <c r="R295" s="35">
        <v>0.35</v>
      </c>
      <c r="S295" s="29">
        <v>1.7690000000000001E-2</v>
      </c>
      <c r="T295" s="29">
        <v>1.7861693000000001</v>
      </c>
      <c r="U295" s="29">
        <v>443.3</v>
      </c>
    </row>
    <row r="296" spans="7:21">
      <c r="G296" s="32">
        <v>20231215</v>
      </c>
      <c r="H296" s="32" t="s">
        <v>2595</v>
      </c>
      <c r="I296" s="33" t="s">
        <v>2596</v>
      </c>
      <c r="J296" s="2" t="s">
        <v>2597</v>
      </c>
      <c r="K296" s="2" t="s">
        <v>1723</v>
      </c>
      <c r="L296" s="2" t="s">
        <v>1724</v>
      </c>
      <c r="M296" s="29">
        <v>5675</v>
      </c>
      <c r="N296" s="29">
        <v>5675</v>
      </c>
      <c r="O296" s="29">
        <v>5535</v>
      </c>
      <c r="P296" s="29">
        <v>5625</v>
      </c>
      <c r="Q296" s="29">
        <v>25</v>
      </c>
      <c r="R296" s="35">
        <v>0.45</v>
      </c>
      <c r="S296" s="29">
        <v>1.7631999999999998E-2</v>
      </c>
      <c r="T296" s="29">
        <v>0.98782764999999995</v>
      </c>
      <c r="U296" s="29">
        <v>168.75</v>
      </c>
    </row>
    <row r="297" spans="7:21">
      <c r="G297" s="32">
        <v>20231215</v>
      </c>
      <c r="H297" s="32" t="s">
        <v>2598</v>
      </c>
      <c r="I297" s="33" t="s">
        <v>2599</v>
      </c>
      <c r="J297" s="2" t="s">
        <v>2600</v>
      </c>
      <c r="K297" s="2" t="s">
        <v>1723</v>
      </c>
      <c r="L297" s="2" t="s">
        <v>1724</v>
      </c>
      <c r="M297" s="29">
        <v>31490</v>
      </c>
      <c r="N297" s="29">
        <v>31585</v>
      </c>
      <c r="O297" s="29">
        <v>31425</v>
      </c>
      <c r="P297" s="29">
        <v>31565</v>
      </c>
      <c r="Q297" s="29">
        <v>10</v>
      </c>
      <c r="R297" s="35">
        <v>0.03</v>
      </c>
      <c r="S297" s="29">
        <v>1.7350000000000001E-2</v>
      </c>
      <c r="T297" s="29">
        <v>5.4657672499999999</v>
      </c>
      <c r="U297" s="29">
        <v>505.04</v>
      </c>
    </row>
    <row r="298" spans="7:21">
      <c r="G298" s="32">
        <v>20231215</v>
      </c>
      <c r="H298" s="32" t="s">
        <v>2601</v>
      </c>
      <c r="I298" s="33" t="s">
        <v>2602</v>
      </c>
      <c r="J298" s="2" t="s">
        <v>2603</v>
      </c>
      <c r="K298" s="2" t="s">
        <v>1723</v>
      </c>
      <c r="L298" s="2" t="s">
        <v>1724</v>
      </c>
      <c r="M298" s="29">
        <v>21920</v>
      </c>
      <c r="N298" s="29">
        <v>21950</v>
      </c>
      <c r="O298" s="29">
        <v>21895</v>
      </c>
      <c r="P298" s="29">
        <v>21940</v>
      </c>
      <c r="Q298" s="29">
        <v>-15</v>
      </c>
      <c r="R298" s="35">
        <v>-7.0000000000000007E-2</v>
      </c>
      <c r="S298" s="29">
        <v>1.7172E-2</v>
      </c>
      <c r="T298" s="29">
        <v>3.7650484</v>
      </c>
      <c r="U298" s="29">
        <v>1469.98</v>
      </c>
    </row>
    <row r="299" spans="7:21">
      <c r="G299" s="32">
        <v>20231215</v>
      </c>
      <c r="H299" s="32" t="s">
        <v>2604</v>
      </c>
      <c r="I299" s="33" t="s">
        <v>2605</v>
      </c>
      <c r="J299" s="2" t="s">
        <v>2606</v>
      </c>
      <c r="K299" s="2" t="s">
        <v>1723</v>
      </c>
      <c r="L299" s="2" t="s">
        <v>1724</v>
      </c>
      <c r="M299" s="29">
        <v>23430</v>
      </c>
      <c r="N299" s="29">
        <v>23540</v>
      </c>
      <c r="O299" s="29">
        <v>23355</v>
      </c>
      <c r="P299" s="29">
        <v>23510</v>
      </c>
      <c r="Q299" s="29">
        <v>160</v>
      </c>
      <c r="R299" s="35">
        <v>0.69</v>
      </c>
      <c r="S299" s="29">
        <v>1.7014999999999999E-2</v>
      </c>
      <c r="T299" s="29">
        <v>3.9957628999999999</v>
      </c>
      <c r="U299" s="29">
        <v>3032.79</v>
      </c>
    </row>
    <row r="300" spans="7:21">
      <c r="G300" s="32">
        <v>20231215</v>
      </c>
      <c r="H300" s="32" t="s">
        <v>2607</v>
      </c>
      <c r="I300" s="33" t="s">
        <v>2608</v>
      </c>
      <c r="J300" s="2" t="s">
        <v>2609</v>
      </c>
      <c r="K300" s="2" t="s">
        <v>1723</v>
      </c>
      <c r="L300" s="2" t="s">
        <v>1724</v>
      </c>
      <c r="M300" s="29">
        <v>8140</v>
      </c>
      <c r="N300" s="29">
        <v>8200</v>
      </c>
      <c r="O300" s="29">
        <v>8040</v>
      </c>
      <c r="P300" s="29">
        <v>8120</v>
      </c>
      <c r="Q300" s="29">
        <v>-70</v>
      </c>
      <c r="R300" s="35">
        <v>-0.85</v>
      </c>
      <c r="S300" s="29">
        <v>1.7014999999999999E-2</v>
      </c>
      <c r="T300" s="29">
        <v>1.3794470000000001</v>
      </c>
      <c r="U300" s="29">
        <v>138.04</v>
      </c>
    </row>
    <row r="301" spans="7:21">
      <c r="G301" s="32">
        <v>20231215</v>
      </c>
      <c r="H301" s="32" t="s">
        <v>2610</v>
      </c>
      <c r="I301" s="33" t="s">
        <v>2611</v>
      </c>
      <c r="J301" s="2" t="s">
        <v>2612</v>
      </c>
      <c r="K301" s="2" t="s">
        <v>1723</v>
      </c>
      <c r="L301" s="2" t="s">
        <v>1724</v>
      </c>
      <c r="M301" s="29">
        <v>11340</v>
      </c>
      <c r="N301" s="29">
        <v>11340</v>
      </c>
      <c r="O301" s="29">
        <v>11240</v>
      </c>
      <c r="P301" s="29">
        <v>11295</v>
      </c>
      <c r="Q301" s="29">
        <v>35</v>
      </c>
      <c r="R301" s="35">
        <v>0.31</v>
      </c>
      <c r="S301" s="29">
        <v>1.6371E-2</v>
      </c>
      <c r="T301" s="29">
        <v>1.8459498000000001</v>
      </c>
      <c r="U301" s="29">
        <v>124.245</v>
      </c>
    </row>
    <row r="302" spans="7:21">
      <c r="G302" s="32">
        <v>20231215</v>
      </c>
      <c r="H302" s="32" t="s">
        <v>2613</v>
      </c>
      <c r="I302" s="33" t="s">
        <v>2614</v>
      </c>
      <c r="J302" s="2" t="s">
        <v>2615</v>
      </c>
      <c r="K302" s="2" t="s">
        <v>1723</v>
      </c>
      <c r="L302" s="2" t="s">
        <v>1724</v>
      </c>
      <c r="M302" s="29">
        <v>15175</v>
      </c>
      <c r="N302" s="29">
        <v>15255</v>
      </c>
      <c r="O302" s="29">
        <v>15175</v>
      </c>
      <c r="P302" s="29">
        <v>15215</v>
      </c>
      <c r="Q302" s="29">
        <v>130</v>
      </c>
      <c r="R302" s="35">
        <v>0.86</v>
      </c>
      <c r="S302" s="29">
        <v>1.5993E-2</v>
      </c>
      <c r="T302" s="29">
        <v>2.4310139999999998</v>
      </c>
      <c r="U302" s="29">
        <v>129.32749999999999</v>
      </c>
    </row>
    <row r="303" spans="7:21">
      <c r="G303" s="32">
        <v>20231215</v>
      </c>
      <c r="H303" s="32" t="s">
        <v>2616</v>
      </c>
      <c r="I303" s="33" t="s">
        <v>2617</v>
      </c>
      <c r="J303" s="2" t="s">
        <v>2618</v>
      </c>
      <c r="K303" s="2" t="s">
        <v>1723</v>
      </c>
      <c r="L303" s="2" t="s">
        <v>1724</v>
      </c>
      <c r="M303" s="29">
        <v>8545</v>
      </c>
      <c r="N303" s="29">
        <v>8545</v>
      </c>
      <c r="O303" s="29">
        <v>8510</v>
      </c>
      <c r="P303" s="29">
        <v>8515</v>
      </c>
      <c r="Q303" s="29">
        <v>100</v>
      </c>
      <c r="R303" s="35">
        <v>1.19</v>
      </c>
      <c r="S303" s="29">
        <v>1.5852999999999999E-2</v>
      </c>
      <c r="T303" s="29">
        <v>1.3527346</v>
      </c>
      <c r="U303" s="29">
        <v>451.29500000000002</v>
      </c>
    </row>
    <row r="304" spans="7:21">
      <c r="G304" s="32">
        <v>20231215</v>
      </c>
      <c r="H304" s="32" t="s">
        <v>2619</v>
      </c>
      <c r="I304" s="33" t="s">
        <v>2620</v>
      </c>
      <c r="J304" s="2" t="s">
        <v>2621</v>
      </c>
      <c r="K304" s="2" t="s">
        <v>1723</v>
      </c>
      <c r="L304" s="2" t="s">
        <v>1724</v>
      </c>
      <c r="M304" s="29">
        <v>19745</v>
      </c>
      <c r="N304" s="29">
        <v>19875</v>
      </c>
      <c r="O304" s="29">
        <v>19745</v>
      </c>
      <c r="P304" s="29">
        <v>19795</v>
      </c>
      <c r="Q304" s="29">
        <v>55</v>
      </c>
      <c r="R304" s="35">
        <v>0.28000000000000003</v>
      </c>
      <c r="S304" s="29">
        <v>1.5817000000000001E-2</v>
      </c>
      <c r="T304" s="29">
        <v>3.1337552999999998</v>
      </c>
      <c r="U304" s="29">
        <v>772.005</v>
      </c>
    </row>
    <row r="305" spans="7:21">
      <c r="G305" s="32">
        <v>20231215</v>
      </c>
      <c r="H305" s="32" t="s">
        <v>2622</v>
      </c>
      <c r="I305" s="33" t="s">
        <v>2623</v>
      </c>
      <c r="J305" s="2" t="s">
        <v>2624</v>
      </c>
      <c r="K305" s="2" t="s">
        <v>1723</v>
      </c>
      <c r="L305" s="2" t="s">
        <v>1724</v>
      </c>
      <c r="M305" s="29">
        <v>7235</v>
      </c>
      <c r="N305" s="29">
        <v>7405</v>
      </c>
      <c r="O305" s="29">
        <v>7235</v>
      </c>
      <c r="P305" s="29">
        <v>7380</v>
      </c>
      <c r="Q305" s="29">
        <v>145</v>
      </c>
      <c r="R305" s="35">
        <v>2</v>
      </c>
      <c r="S305" s="29">
        <v>1.5587999999999999E-2</v>
      </c>
      <c r="T305" s="29">
        <v>1.1464105</v>
      </c>
      <c r="U305" s="29">
        <v>39.851999999999997</v>
      </c>
    </row>
    <row r="306" spans="7:21">
      <c r="G306" s="32">
        <v>20231215</v>
      </c>
      <c r="H306" s="32" t="s">
        <v>2625</v>
      </c>
      <c r="I306" s="33" t="s">
        <v>2626</v>
      </c>
      <c r="J306" s="2" t="s">
        <v>2627</v>
      </c>
      <c r="K306" s="2" t="s">
        <v>1723</v>
      </c>
      <c r="L306" s="2" t="s">
        <v>1724</v>
      </c>
      <c r="M306" s="29">
        <v>10260</v>
      </c>
      <c r="N306" s="29">
        <v>10260</v>
      </c>
      <c r="O306" s="29">
        <v>10255</v>
      </c>
      <c r="P306" s="29">
        <v>10255</v>
      </c>
      <c r="Q306" s="29">
        <v>15</v>
      </c>
      <c r="R306" s="35">
        <v>0.15</v>
      </c>
      <c r="S306" s="29">
        <v>1.5473000000000001E-2</v>
      </c>
      <c r="T306" s="29">
        <v>1.58723345</v>
      </c>
      <c r="U306" s="29">
        <v>3149.3105</v>
      </c>
    </row>
    <row r="307" spans="7:21">
      <c r="G307" s="32">
        <v>20231215</v>
      </c>
      <c r="H307" s="32" t="s">
        <v>2628</v>
      </c>
      <c r="I307" s="33" t="s">
        <v>2629</v>
      </c>
      <c r="J307" s="2" t="s">
        <v>2630</v>
      </c>
      <c r="K307" s="2" t="s">
        <v>1723</v>
      </c>
      <c r="L307" s="2" t="s">
        <v>1724</v>
      </c>
      <c r="M307" s="29">
        <v>57070</v>
      </c>
      <c r="N307" s="29">
        <v>57115</v>
      </c>
      <c r="O307" s="29">
        <v>56930</v>
      </c>
      <c r="P307" s="29">
        <v>56930</v>
      </c>
      <c r="Q307" s="29">
        <v>-210</v>
      </c>
      <c r="R307" s="35">
        <v>-0.37</v>
      </c>
      <c r="S307" s="29">
        <v>1.5344999999999999E-2</v>
      </c>
      <c r="T307" s="29">
        <v>8.7589697500000003</v>
      </c>
      <c r="U307" s="29">
        <v>91.087999999999994</v>
      </c>
    </row>
    <row r="308" spans="7:21">
      <c r="G308" s="32">
        <v>20231215</v>
      </c>
      <c r="H308" s="32" t="s">
        <v>2631</v>
      </c>
      <c r="I308" s="33" t="s">
        <v>2632</v>
      </c>
      <c r="J308" s="2" t="s">
        <v>2633</v>
      </c>
      <c r="K308" s="2" t="s">
        <v>1723</v>
      </c>
      <c r="L308" s="2" t="s">
        <v>1724</v>
      </c>
      <c r="M308" s="29">
        <v>10250</v>
      </c>
      <c r="N308" s="29">
        <v>10320</v>
      </c>
      <c r="O308" s="29">
        <v>10250</v>
      </c>
      <c r="P308" s="29">
        <v>10320</v>
      </c>
      <c r="Q308" s="29">
        <v>130</v>
      </c>
      <c r="R308" s="35">
        <v>1.28</v>
      </c>
      <c r="S308" s="29">
        <v>1.5276E-2</v>
      </c>
      <c r="T308" s="29">
        <v>1.5731925499999999</v>
      </c>
      <c r="U308" s="29">
        <v>487.10399999999998</v>
      </c>
    </row>
    <row r="309" spans="7:21">
      <c r="G309" s="32">
        <v>20231215</v>
      </c>
      <c r="H309" s="32" t="s">
        <v>2634</v>
      </c>
      <c r="I309" s="33" t="s">
        <v>2635</v>
      </c>
      <c r="J309" s="2" t="s">
        <v>2636</v>
      </c>
      <c r="K309" s="2" t="s">
        <v>1723</v>
      </c>
      <c r="L309" s="2" t="s">
        <v>1724</v>
      </c>
      <c r="M309" s="29">
        <v>11950</v>
      </c>
      <c r="N309" s="29">
        <v>12055</v>
      </c>
      <c r="O309" s="29">
        <v>11905</v>
      </c>
      <c r="P309" s="29">
        <v>11935</v>
      </c>
      <c r="Q309" s="29">
        <v>145</v>
      </c>
      <c r="R309" s="35">
        <v>1.23</v>
      </c>
      <c r="S309" s="29">
        <v>1.5238E-2</v>
      </c>
      <c r="T309" s="29">
        <v>1.82521065</v>
      </c>
      <c r="U309" s="29">
        <v>9.548</v>
      </c>
    </row>
    <row r="310" spans="7:21">
      <c r="G310" s="32">
        <v>20231215</v>
      </c>
      <c r="H310" s="32" t="s">
        <v>2637</v>
      </c>
      <c r="I310" s="33" t="s">
        <v>2638</v>
      </c>
      <c r="J310" s="2" t="s">
        <v>2639</v>
      </c>
      <c r="K310" s="2" t="s">
        <v>1723</v>
      </c>
      <c r="L310" s="2" t="s">
        <v>1724</v>
      </c>
      <c r="M310" s="29">
        <v>15070</v>
      </c>
      <c r="N310" s="29">
        <v>15070</v>
      </c>
      <c r="O310" s="29">
        <v>14945</v>
      </c>
      <c r="P310" s="29">
        <v>15005</v>
      </c>
      <c r="Q310" s="29">
        <v>10</v>
      </c>
      <c r="R310" s="35">
        <v>7.0000000000000007E-2</v>
      </c>
      <c r="S310" s="29">
        <v>1.5173000000000001E-2</v>
      </c>
      <c r="T310" s="29">
        <v>2.2722227500000001</v>
      </c>
      <c r="U310" s="29">
        <v>495.16500000000002</v>
      </c>
    </row>
    <row r="311" spans="7:21">
      <c r="G311" s="32">
        <v>20231215</v>
      </c>
      <c r="H311" s="32" t="s">
        <v>2640</v>
      </c>
      <c r="I311" s="33" t="s">
        <v>2641</v>
      </c>
      <c r="J311" s="2" t="s">
        <v>2642</v>
      </c>
      <c r="K311" s="2" t="s">
        <v>1723</v>
      </c>
      <c r="L311" s="2" t="s">
        <v>1724</v>
      </c>
      <c r="M311" s="29">
        <v>15355</v>
      </c>
      <c r="N311" s="29">
        <v>15665</v>
      </c>
      <c r="O311" s="29">
        <v>15345</v>
      </c>
      <c r="P311" s="29">
        <v>15415</v>
      </c>
      <c r="Q311" s="29">
        <v>240</v>
      </c>
      <c r="R311" s="35">
        <v>1.58</v>
      </c>
      <c r="S311" s="29">
        <v>1.5095000000000001E-2</v>
      </c>
      <c r="T311" s="29">
        <v>2.34625935</v>
      </c>
      <c r="U311" s="29">
        <v>78.616500000000002</v>
      </c>
    </row>
    <row r="312" spans="7:21">
      <c r="G312" s="32">
        <v>20231215</v>
      </c>
      <c r="H312" s="32" t="s">
        <v>2643</v>
      </c>
      <c r="I312" s="33" t="s">
        <v>2644</v>
      </c>
      <c r="J312" s="2" t="s">
        <v>2645</v>
      </c>
      <c r="K312" s="2" t="s">
        <v>1723</v>
      </c>
      <c r="L312" s="2" t="s">
        <v>1724</v>
      </c>
      <c r="M312" s="29">
        <v>12350</v>
      </c>
      <c r="N312" s="29">
        <v>12440</v>
      </c>
      <c r="O312" s="29">
        <v>12325</v>
      </c>
      <c r="P312" s="29">
        <v>12370</v>
      </c>
      <c r="Q312" s="29">
        <v>85</v>
      </c>
      <c r="R312" s="35">
        <v>0.69</v>
      </c>
      <c r="S312" s="29">
        <v>1.5093000000000001E-2</v>
      </c>
      <c r="T312" s="29">
        <v>1.8667269</v>
      </c>
      <c r="U312" s="29">
        <v>1039.08</v>
      </c>
    </row>
    <row r="313" spans="7:21">
      <c r="G313" s="32">
        <v>20231215</v>
      </c>
      <c r="H313" s="32" t="s">
        <v>2646</v>
      </c>
      <c r="I313" s="33" t="s">
        <v>2647</v>
      </c>
      <c r="J313" s="2" t="s">
        <v>2648</v>
      </c>
      <c r="K313" s="2" t="s">
        <v>1723</v>
      </c>
      <c r="L313" s="2" t="s">
        <v>1724</v>
      </c>
      <c r="M313" s="29">
        <v>51005</v>
      </c>
      <c r="N313" s="29">
        <v>51205</v>
      </c>
      <c r="O313" s="29">
        <v>50935</v>
      </c>
      <c r="P313" s="29">
        <v>51175</v>
      </c>
      <c r="Q313" s="29">
        <v>525</v>
      </c>
      <c r="R313" s="35">
        <v>1.04</v>
      </c>
      <c r="S313" s="29">
        <v>1.5066E-2</v>
      </c>
      <c r="T313" s="29">
        <v>7.6989187499999998</v>
      </c>
      <c r="U313" s="29">
        <v>197.53550000000001</v>
      </c>
    </row>
    <row r="314" spans="7:21">
      <c r="G314" s="32">
        <v>20231215</v>
      </c>
      <c r="H314" s="32" t="s">
        <v>2649</v>
      </c>
      <c r="I314" s="33" t="s">
        <v>2650</v>
      </c>
      <c r="J314" s="2" t="s">
        <v>2651</v>
      </c>
      <c r="K314" s="2" t="s">
        <v>1723</v>
      </c>
      <c r="L314" s="2" t="s">
        <v>1724</v>
      </c>
      <c r="M314" s="29">
        <v>10575</v>
      </c>
      <c r="N314" s="29">
        <v>10590</v>
      </c>
      <c r="O314" s="29">
        <v>10315</v>
      </c>
      <c r="P314" s="29">
        <v>10445</v>
      </c>
      <c r="Q314" s="29">
        <v>-125</v>
      </c>
      <c r="R314" s="35">
        <v>-1.18</v>
      </c>
      <c r="S314" s="29">
        <v>1.49E-2</v>
      </c>
      <c r="T314" s="29">
        <v>1.5557890000000001</v>
      </c>
      <c r="U314" s="29">
        <v>997.49749999999995</v>
      </c>
    </row>
    <row r="315" spans="7:21">
      <c r="G315" s="32">
        <v>20231215</v>
      </c>
      <c r="H315" s="32" t="s">
        <v>2652</v>
      </c>
      <c r="I315" s="33" t="s">
        <v>2653</v>
      </c>
      <c r="J315" s="2" t="s">
        <v>2654</v>
      </c>
      <c r="K315" s="2" t="s">
        <v>1723</v>
      </c>
      <c r="L315" s="2" t="s">
        <v>1724</v>
      </c>
      <c r="M315" s="29">
        <v>51330</v>
      </c>
      <c r="N315" s="29">
        <v>51330</v>
      </c>
      <c r="O315" s="29">
        <v>51295</v>
      </c>
      <c r="P315" s="29">
        <v>51295</v>
      </c>
      <c r="Q315" s="29">
        <v>80</v>
      </c>
      <c r="R315" s="35">
        <v>0.16</v>
      </c>
      <c r="S315" s="29">
        <v>1.4852000000000001E-2</v>
      </c>
      <c r="T315" s="29">
        <v>7.6184643999999997</v>
      </c>
      <c r="U315" s="29">
        <v>983.83810000000005</v>
      </c>
    </row>
    <row r="316" spans="7:21">
      <c r="G316" s="32">
        <v>20231215</v>
      </c>
      <c r="H316" s="32" t="s">
        <v>2655</v>
      </c>
      <c r="I316" s="33" t="s">
        <v>2656</v>
      </c>
      <c r="J316" s="2" t="s">
        <v>2657</v>
      </c>
      <c r="K316" s="2" t="s">
        <v>1723</v>
      </c>
      <c r="L316" s="2" t="s">
        <v>1724</v>
      </c>
      <c r="M316" s="29">
        <v>11865</v>
      </c>
      <c r="N316" s="29">
        <v>11975</v>
      </c>
      <c r="O316" s="29">
        <v>11865</v>
      </c>
      <c r="P316" s="29">
        <v>11915</v>
      </c>
      <c r="Q316" s="29">
        <v>-50</v>
      </c>
      <c r="R316" s="35">
        <v>-0.42</v>
      </c>
      <c r="S316" s="29">
        <v>1.4737999999999999E-2</v>
      </c>
      <c r="T316" s="29">
        <v>1.75877785</v>
      </c>
      <c r="U316" s="29">
        <v>142.97999999999999</v>
      </c>
    </row>
    <row r="317" spans="7:21">
      <c r="G317" s="32">
        <v>20231215</v>
      </c>
      <c r="H317" s="32" t="s">
        <v>2658</v>
      </c>
      <c r="I317" s="33" t="s">
        <v>2659</v>
      </c>
      <c r="J317" s="2" t="s">
        <v>2660</v>
      </c>
      <c r="K317" s="2" t="s">
        <v>1723</v>
      </c>
      <c r="L317" s="2" t="s">
        <v>1724</v>
      </c>
      <c r="M317" s="29">
        <v>11010</v>
      </c>
      <c r="N317" s="29">
        <v>11095</v>
      </c>
      <c r="O317" s="29">
        <v>10975</v>
      </c>
      <c r="P317" s="29">
        <v>11065</v>
      </c>
      <c r="Q317" s="29">
        <v>180</v>
      </c>
      <c r="R317" s="35">
        <v>1.65</v>
      </c>
      <c r="S317" s="29">
        <v>1.469E-2</v>
      </c>
      <c r="T317" s="29">
        <v>1.62099375</v>
      </c>
      <c r="U317" s="29">
        <v>127.2475</v>
      </c>
    </row>
    <row r="318" spans="7:21">
      <c r="G318" s="32">
        <v>20231215</v>
      </c>
      <c r="H318" s="32" t="s">
        <v>2661</v>
      </c>
      <c r="I318" s="33" t="s">
        <v>2662</v>
      </c>
      <c r="J318" s="2" t="s">
        <v>2663</v>
      </c>
      <c r="K318" s="2" t="s">
        <v>1723</v>
      </c>
      <c r="L318" s="2" t="s">
        <v>1724</v>
      </c>
      <c r="M318" s="29">
        <v>7465</v>
      </c>
      <c r="N318" s="29">
        <v>7470</v>
      </c>
      <c r="O318" s="29">
        <v>7430</v>
      </c>
      <c r="P318" s="29">
        <v>7470</v>
      </c>
      <c r="Q318" s="29">
        <v>-5</v>
      </c>
      <c r="R318" s="35">
        <v>-7.0000000000000007E-2</v>
      </c>
      <c r="S318" s="29">
        <v>1.4426E-2</v>
      </c>
      <c r="T318" s="29">
        <v>1.0742144</v>
      </c>
      <c r="U318" s="29">
        <v>82.17</v>
      </c>
    </row>
    <row r="319" spans="7:21">
      <c r="G319" s="32">
        <v>20231215</v>
      </c>
      <c r="H319" s="32" t="s">
        <v>2664</v>
      </c>
      <c r="I319" s="33" t="s">
        <v>2665</v>
      </c>
      <c r="J319" s="2" t="s">
        <v>2666</v>
      </c>
      <c r="K319" s="2" t="s">
        <v>1723</v>
      </c>
      <c r="L319" s="2" t="s">
        <v>1724</v>
      </c>
      <c r="M319" s="29">
        <v>9940</v>
      </c>
      <c r="N319" s="29">
        <v>9980</v>
      </c>
      <c r="O319" s="29">
        <v>9935</v>
      </c>
      <c r="P319" s="29">
        <v>9940</v>
      </c>
      <c r="Q319" s="29">
        <v>20</v>
      </c>
      <c r="R319" s="35">
        <v>0.2</v>
      </c>
      <c r="S319" s="29">
        <v>1.4324E-2</v>
      </c>
      <c r="T319" s="29">
        <v>1.1242939999999999</v>
      </c>
      <c r="U319" s="29">
        <v>149.1</v>
      </c>
    </row>
    <row r="320" spans="7:21">
      <c r="G320" s="32">
        <v>20231215</v>
      </c>
      <c r="H320" s="32" t="s">
        <v>2667</v>
      </c>
      <c r="I320" s="33" t="s">
        <v>2668</v>
      </c>
      <c r="J320" s="2" t="s">
        <v>2669</v>
      </c>
      <c r="K320" s="2" t="s">
        <v>1723</v>
      </c>
      <c r="L320" s="2" t="s">
        <v>1724</v>
      </c>
      <c r="M320" s="29">
        <v>14185</v>
      </c>
      <c r="N320" s="29">
        <v>14295</v>
      </c>
      <c r="O320" s="29">
        <v>14055</v>
      </c>
      <c r="P320" s="29">
        <v>14120</v>
      </c>
      <c r="Q320" s="29">
        <v>-65</v>
      </c>
      <c r="R320" s="35">
        <v>-0.46</v>
      </c>
      <c r="S320" s="29">
        <v>1.4211E-2</v>
      </c>
      <c r="T320" s="29">
        <v>2.0152456000000001</v>
      </c>
      <c r="U320" s="29">
        <v>98.84</v>
      </c>
    </row>
    <row r="321" spans="7:21">
      <c r="G321" s="32">
        <v>20231215</v>
      </c>
      <c r="H321" s="32" t="s">
        <v>2670</v>
      </c>
      <c r="I321" s="33" t="s">
        <v>2671</v>
      </c>
      <c r="J321" s="2" t="s">
        <v>2672</v>
      </c>
      <c r="K321" s="2" t="s">
        <v>1723</v>
      </c>
      <c r="L321" s="2" t="s">
        <v>1724</v>
      </c>
      <c r="M321" s="29">
        <v>51520</v>
      </c>
      <c r="N321" s="29">
        <v>51520</v>
      </c>
      <c r="O321" s="29">
        <v>51495</v>
      </c>
      <c r="P321" s="29">
        <v>51515</v>
      </c>
      <c r="Q321" s="29">
        <v>-10</v>
      </c>
      <c r="R321" s="35">
        <v>-0.02</v>
      </c>
      <c r="S321" s="29">
        <v>1.3814999999999999E-2</v>
      </c>
      <c r="T321" s="29">
        <v>7.1146456000000002</v>
      </c>
      <c r="U321" s="29">
        <v>4956.7732999999998</v>
      </c>
    </row>
    <row r="322" spans="7:21">
      <c r="G322" s="32">
        <v>20231215</v>
      </c>
      <c r="H322" s="32" t="s">
        <v>2673</v>
      </c>
      <c r="I322" s="33" t="s">
        <v>2674</v>
      </c>
      <c r="J322" s="2" t="s">
        <v>2675</v>
      </c>
      <c r="K322" s="2" t="s">
        <v>1723</v>
      </c>
      <c r="L322" s="2" t="s">
        <v>1724</v>
      </c>
      <c r="M322" s="29">
        <v>9290</v>
      </c>
      <c r="N322" s="29">
        <v>9420</v>
      </c>
      <c r="O322" s="29">
        <v>9290</v>
      </c>
      <c r="P322" s="29">
        <v>9365</v>
      </c>
      <c r="Q322" s="29">
        <v>115</v>
      </c>
      <c r="R322" s="35">
        <v>1.24</v>
      </c>
      <c r="S322" s="29">
        <v>1.3772E-2</v>
      </c>
      <c r="T322" s="29">
        <v>1.290173</v>
      </c>
      <c r="U322" s="29">
        <v>271.58499999999998</v>
      </c>
    </row>
    <row r="323" spans="7:21">
      <c r="G323" s="32">
        <v>20231215</v>
      </c>
      <c r="H323" s="32" t="s">
        <v>2676</v>
      </c>
      <c r="I323" s="33" t="s">
        <v>2677</v>
      </c>
      <c r="J323" s="2" t="s">
        <v>2678</v>
      </c>
      <c r="K323" s="2" t="s">
        <v>1723</v>
      </c>
      <c r="L323" s="2" t="s">
        <v>1724</v>
      </c>
      <c r="M323" s="29">
        <v>3790</v>
      </c>
      <c r="N323" s="29">
        <v>3835</v>
      </c>
      <c r="O323" s="29">
        <v>3770</v>
      </c>
      <c r="P323" s="29">
        <v>3815</v>
      </c>
      <c r="Q323" s="29">
        <v>-5</v>
      </c>
      <c r="R323" s="35">
        <v>-0.13</v>
      </c>
      <c r="S323" s="29">
        <v>1.3724999999999999E-2</v>
      </c>
      <c r="T323" s="29">
        <v>0.522061</v>
      </c>
      <c r="U323" s="29">
        <v>36.2425</v>
      </c>
    </row>
    <row r="324" spans="7:21">
      <c r="G324" s="32">
        <v>20231215</v>
      </c>
      <c r="H324" s="32" t="s">
        <v>2679</v>
      </c>
      <c r="I324" s="33" t="s">
        <v>2680</v>
      </c>
      <c r="J324" s="2" t="s">
        <v>2681</v>
      </c>
      <c r="K324" s="2" t="s">
        <v>1723</v>
      </c>
      <c r="L324" s="2" t="s">
        <v>1724</v>
      </c>
      <c r="M324" s="29">
        <v>16625</v>
      </c>
      <c r="N324" s="29">
        <v>16965</v>
      </c>
      <c r="O324" s="29">
        <v>16625</v>
      </c>
      <c r="P324" s="29">
        <v>16965</v>
      </c>
      <c r="Q324" s="29">
        <v>475</v>
      </c>
      <c r="R324" s="35">
        <v>2.88</v>
      </c>
      <c r="S324" s="29">
        <v>1.3520000000000001E-2</v>
      </c>
      <c r="T324" s="29">
        <v>2.2834531999999998</v>
      </c>
      <c r="U324" s="29">
        <v>264.654</v>
      </c>
    </row>
    <row r="325" spans="7:21">
      <c r="G325" s="32">
        <v>20231215</v>
      </c>
      <c r="H325" s="32" t="s">
        <v>2682</v>
      </c>
      <c r="I325" s="33" t="s">
        <v>2683</v>
      </c>
      <c r="J325" s="2" t="s">
        <v>2684</v>
      </c>
      <c r="K325" s="2" t="s">
        <v>1723</v>
      </c>
      <c r="L325" s="2" t="s">
        <v>1724</v>
      </c>
      <c r="M325" s="29">
        <v>22745</v>
      </c>
      <c r="N325" s="29">
        <v>22950</v>
      </c>
      <c r="O325" s="29">
        <v>22745</v>
      </c>
      <c r="P325" s="29">
        <v>22830</v>
      </c>
      <c r="Q325" s="29">
        <v>270</v>
      </c>
      <c r="R325" s="35">
        <v>1.2</v>
      </c>
      <c r="S325" s="29">
        <v>1.3275E-2</v>
      </c>
      <c r="T325" s="29">
        <v>3.0350310500000002</v>
      </c>
      <c r="U325" s="29">
        <v>251.13</v>
      </c>
    </row>
    <row r="326" spans="7:21">
      <c r="G326" s="32">
        <v>20231215</v>
      </c>
      <c r="H326" s="32" t="s">
        <v>2685</v>
      </c>
      <c r="I326" s="33" t="s">
        <v>2686</v>
      </c>
      <c r="J326" s="2" t="s">
        <v>2687</v>
      </c>
      <c r="K326" s="2" t="s">
        <v>1723</v>
      </c>
      <c r="L326" s="2" t="s">
        <v>1724</v>
      </c>
      <c r="M326" s="29">
        <v>90100</v>
      </c>
      <c r="N326" s="29">
        <v>90100</v>
      </c>
      <c r="O326" s="29">
        <v>89865</v>
      </c>
      <c r="P326" s="29">
        <v>89950</v>
      </c>
      <c r="Q326" s="29">
        <v>-150</v>
      </c>
      <c r="R326" s="35">
        <v>-0.17</v>
      </c>
      <c r="S326" s="29">
        <v>1.3252E-2</v>
      </c>
      <c r="T326" s="29">
        <v>11.918991050000001</v>
      </c>
      <c r="U326" s="29">
        <v>2139.9105</v>
      </c>
    </row>
    <row r="327" spans="7:21">
      <c r="G327" s="32">
        <v>20231215</v>
      </c>
      <c r="H327" s="32" t="s">
        <v>2688</v>
      </c>
      <c r="I327" s="33" t="s">
        <v>2689</v>
      </c>
      <c r="J327" s="2" t="s">
        <v>2690</v>
      </c>
      <c r="K327" s="2" t="s">
        <v>1723</v>
      </c>
      <c r="L327" s="2" t="s">
        <v>1724</v>
      </c>
      <c r="M327" s="29">
        <v>14360</v>
      </c>
      <c r="N327" s="29">
        <v>14450</v>
      </c>
      <c r="O327" s="29">
        <v>14360</v>
      </c>
      <c r="P327" s="29">
        <v>14445</v>
      </c>
      <c r="Q327" s="29">
        <v>-90</v>
      </c>
      <c r="R327" s="35">
        <v>-0.62</v>
      </c>
      <c r="S327" s="29">
        <v>1.3226E-2</v>
      </c>
      <c r="T327" s="29">
        <v>1.9030184999999999</v>
      </c>
      <c r="U327" s="29">
        <v>138.672</v>
      </c>
    </row>
    <row r="328" spans="7:21">
      <c r="G328" s="32">
        <v>20231215</v>
      </c>
      <c r="H328" s="32" t="s">
        <v>2691</v>
      </c>
      <c r="I328" s="33" t="s">
        <v>2692</v>
      </c>
      <c r="J328" s="2" t="s">
        <v>2693</v>
      </c>
      <c r="K328" s="2" t="s">
        <v>1723</v>
      </c>
      <c r="L328" s="2" t="s">
        <v>1724</v>
      </c>
      <c r="M328" s="29">
        <v>8725</v>
      </c>
      <c r="N328" s="29">
        <v>8730</v>
      </c>
      <c r="O328" s="29">
        <v>8685</v>
      </c>
      <c r="P328" s="29">
        <v>8725</v>
      </c>
      <c r="Q328" s="29">
        <v>30</v>
      </c>
      <c r="R328" s="35">
        <v>0.35</v>
      </c>
      <c r="S328" s="29">
        <v>1.3216E-2</v>
      </c>
      <c r="T328" s="29">
        <v>1.1520216999999999</v>
      </c>
      <c r="U328" s="29">
        <v>427.52499999999998</v>
      </c>
    </row>
    <row r="329" spans="7:21">
      <c r="G329" s="32">
        <v>20231215</v>
      </c>
      <c r="H329" s="32" t="s">
        <v>2694</v>
      </c>
      <c r="I329" s="33" t="s">
        <v>2695</v>
      </c>
      <c r="J329" s="2" t="s">
        <v>2696</v>
      </c>
      <c r="K329" s="2" t="s">
        <v>1723</v>
      </c>
      <c r="L329" s="2" t="s">
        <v>1724</v>
      </c>
      <c r="M329" s="29">
        <v>23810</v>
      </c>
      <c r="N329" s="29">
        <v>23935</v>
      </c>
      <c r="O329" s="29">
        <v>23730</v>
      </c>
      <c r="P329" s="29">
        <v>23915</v>
      </c>
      <c r="Q329" s="29">
        <v>45</v>
      </c>
      <c r="R329" s="35">
        <v>0.19</v>
      </c>
      <c r="S329" s="29">
        <v>1.3055000000000001E-2</v>
      </c>
      <c r="T329" s="29">
        <v>3.1174732999999999</v>
      </c>
      <c r="U329" s="29">
        <v>870.50599999999997</v>
      </c>
    </row>
    <row r="330" spans="7:21">
      <c r="G330" s="32">
        <v>20231215</v>
      </c>
      <c r="H330" s="32" t="s">
        <v>2697</v>
      </c>
      <c r="I330" s="33" t="s">
        <v>2698</v>
      </c>
      <c r="J330" s="2" t="s">
        <v>2699</v>
      </c>
      <c r="K330" s="2" t="s">
        <v>1723</v>
      </c>
      <c r="L330" s="2" t="s">
        <v>1724</v>
      </c>
      <c r="M330" s="29">
        <v>6810</v>
      </c>
      <c r="N330" s="29">
        <v>6845</v>
      </c>
      <c r="O330" s="29">
        <v>6790</v>
      </c>
      <c r="P330" s="29">
        <v>6810</v>
      </c>
      <c r="Q330" s="29">
        <v>-5</v>
      </c>
      <c r="R330" s="35">
        <v>-7.0000000000000007E-2</v>
      </c>
      <c r="S330" s="29">
        <v>1.2583E-2</v>
      </c>
      <c r="T330" s="29">
        <v>0.85686545000000003</v>
      </c>
      <c r="U330" s="29">
        <v>51.075000000000003</v>
      </c>
    </row>
    <row r="331" spans="7:21">
      <c r="G331" s="32">
        <v>20231215</v>
      </c>
      <c r="H331" s="32" t="s">
        <v>2700</v>
      </c>
      <c r="I331" s="33" t="s">
        <v>2701</v>
      </c>
      <c r="J331" s="2" t="s">
        <v>2702</v>
      </c>
      <c r="K331" s="2" t="s">
        <v>1723</v>
      </c>
      <c r="L331" s="2" t="s">
        <v>1724</v>
      </c>
      <c r="M331" s="29">
        <v>8895</v>
      </c>
      <c r="N331" s="29">
        <v>8895</v>
      </c>
      <c r="O331" s="29">
        <v>8675</v>
      </c>
      <c r="P331" s="29">
        <v>8710</v>
      </c>
      <c r="Q331" s="29">
        <v>-135</v>
      </c>
      <c r="R331" s="35">
        <v>-1.53</v>
      </c>
      <c r="S331" s="29">
        <v>1.2442999999999999E-2</v>
      </c>
      <c r="T331" s="29">
        <v>1.08749495</v>
      </c>
      <c r="U331" s="29">
        <v>620.15200000000004</v>
      </c>
    </row>
    <row r="332" spans="7:21">
      <c r="G332" s="32">
        <v>20231215</v>
      </c>
      <c r="H332" s="32" t="s">
        <v>2703</v>
      </c>
      <c r="I332" s="33" t="s">
        <v>2704</v>
      </c>
      <c r="J332" s="2" t="s">
        <v>2705</v>
      </c>
      <c r="K332" s="2" t="s">
        <v>1723</v>
      </c>
      <c r="L332" s="2" t="s">
        <v>1724</v>
      </c>
      <c r="M332" s="29">
        <v>11015</v>
      </c>
      <c r="N332" s="29">
        <v>11075</v>
      </c>
      <c r="O332" s="29">
        <v>11000</v>
      </c>
      <c r="P332" s="29">
        <v>11070</v>
      </c>
      <c r="Q332" s="29">
        <v>85</v>
      </c>
      <c r="R332" s="35">
        <v>0.77</v>
      </c>
      <c r="S332" s="29">
        <v>1.2085E-2</v>
      </c>
      <c r="T332" s="29">
        <v>1.3352512999999999</v>
      </c>
      <c r="U332" s="29">
        <v>146.124</v>
      </c>
    </row>
    <row r="333" spans="7:21">
      <c r="G333" s="32">
        <v>20231215</v>
      </c>
      <c r="H333" s="32" t="s">
        <v>2706</v>
      </c>
      <c r="I333" s="33" t="s">
        <v>2707</v>
      </c>
      <c r="J333" s="2" t="s">
        <v>2708</v>
      </c>
      <c r="K333" s="2" t="s">
        <v>1723</v>
      </c>
      <c r="L333" s="2" t="s">
        <v>1724</v>
      </c>
      <c r="M333" s="29">
        <v>102680</v>
      </c>
      <c r="N333" s="29">
        <v>102690</v>
      </c>
      <c r="O333" s="29">
        <v>102680</v>
      </c>
      <c r="P333" s="29">
        <v>102690</v>
      </c>
      <c r="Q333" s="29">
        <v>10</v>
      </c>
      <c r="R333" s="35">
        <v>0.01</v>
      </c>
      <c r="S333" s="29">
        <v>1.1965E-2</v>
      </c>
      <c r="T333" s="29">
        <v>12.28683695</v>
      </c>
      <c r="U333" s="29">
        <v>1710.8154</v>
      </c>
    </row>
    <row r="334" spans="7:21">
      <c r="G334" s="32">
        <v>20231215</v>
      </c>
      <c r="H334" s="32" t="s">
        <v>2709</v>
      </c>
      <c r="I334" s="33" t="s">
        <v>2710</v>
      </c>
      <c r="J334" s="2" t="s">
        <v>2711</v>
      </c>
      <c r="K334" s="2" t="s">
        <v>1723</v>
      </c>
      <c r="L334" s="2" t="s">
        <v>1724</v>
      </c>
      <c r="M334" s="29">
        <v>108100</v>
      </c>
      <c r="N334" s="29">
        <v>108125</v>
      </c>
      <c r="O334" s="29">
        <v>108100</v>
      </c>
      <c r="P334" s="29">
        <v>108115</v>
      </c>
      <c r="Q334" s="29">
        <v>15</v>
      </c>
      <c r="R334" s="35">
        <v>0.01</v>
      </c>
      <c r="S334" s="29">
        <v>1.1802E-2</v>
      </c>
      <c r="T334" s="29">
        <v>12.759869350000001</v>
      </c>
      <c r="U334" s="29">
        <v>6759.3498</v>
      </c>
    </row>
    <row r="335" spans="7:21">
      <c r="G335" s="32">
        <v>20231215</v>
      </c>
      <c r="H335" s="32" t="s">
        <v>2712</v>
      </c>
      <c r="I335" s="33" t="s">
        <v>2713</v>
      </c>
      <c r="J335" s="2" t="s">
        <v>2714</v>
      </c>
      <c r="K335" s="2" t="s">
        <v>1723</v>
      </c>
      <c r="L335" s="2" t="s">
        <v>1724</v>
      </c>
      <c r="M335" s="29">
        <v>7530</v>
      </c>
      <c r="N335" s="29">
        <v>7675</v>
      </c>
      <c r="O335" s="29">
        <v>7530</v>
      </c>
      <c r="P335" s="29">
        <v>7620</v>
      </c>
      <c r="Q335" s="29">
        <v>155</v>
      </c>
      <c r="R335" s="35">
        <v>2.08</v>
      </c>
      <c r="S335" s="29">
        <v>1.14E-2</v>
      </c>
      <c r="T335" s="29">
        <v>0.87149489999999996</v>
      </c>
      <c r="U335" s="29">
        <v>4450.08</v>
      </c>
    </row>
    <row r="336" spans="7:21">
      <c r="G336" s="32">
        <v>20231215</v>
      </c>
      <c r="H336" s="32" t="s">
        <v>2715</v>
      </c>
      <c r="I336" s="33" t="s">
        <v>2716</v>
      </c>
      <c r="J336" s="2" t="s">
        <v>2717</v>
      </c>
      <c r="K336" s="2" t="s">
        <v>1723</v>
      </c>
      <c r="L336" s="2" t="s">
        <v>1724</v>
      </c>
      <c r="M336" s="29">
        <v>10155</v>
      </c>
      <c r="N336" s="29">
        <v>10155</v>
      </c>
      <c r="O336" s="29">
        <v>10050</v>
      </c>
      <c r="P336" s="29">
        <v>10075</v>
      </c>
      <c r="Q336" s="29">
        <v>40</v>
      </c>
      <c r="R336" s="35">
        <v>0.4</v>
      </c>
      <c r="S336" s="29">
        <v>1.1257E-2</v>
      </c>
      <c r="T336" s="29">
        <v>1.13511005</v>
      </c>
      <c r="U336" s="29">
        <v>80.599999999999994</v>
      </c>
    </row>
    <row r="337" spans="7:21">
      <c r="G337" s="32">
        <v>20231215</v>
      </c>
      <c r="H337" s="32" t="s">
        <v>2718</v>
      </c>
      <c r="I337" s="33" t="s">
        <v>2719</v>
      </c>
      <c r="J337" s="2" t="s">
        <v>2720</v>
      </c>
      <c r="K337" s="2" t="s">
        <v>1723</v>
      </c>
      <c r="L337" s="2" t="s">
        <v>1724</v>
      </c>
      <c r="M337" s="29">
        <v>12230</v>
      </c>
      <c r="N337" s="29">
        <v>12230</v>
      </c>
      <c r="O337" s="29">
        <v>12180</v>
      </c>
      <c r="P337" s="29">
        <v>12215</v>
      </c>
      <c r="Q337" s="29">
        <v>-20</v>
      </c>
      <c r="R337" s="35">
        <v>-0.16</v>
      </c>
      <c r="S337" s="29">
        <v>1.0959E-2</v>
      </c>
      <c r="T337" s="29">
        <v>1.33727595</v>
      </c>
      <c r="U337" s="29">
        <v>410.42399999999998</v>
      </c>
    </row>
    <row r="338" spans="7:21">
      <c r="G338" s="32">
        <v>20231215</v>
      </c>
      <c r="H338" s="32" t="s">
        <v>2721</v>
      </c>
      <c r="I338" s="33" t="s">
        <v>2722</v>
      </c>
      <c r="J338" s="2" t="s">
        <v>2723</v>
      </c>
      <c r="K338" s="2" t="s">
        <v>1723</v>
      </c>
      <c r="L338" s="2" t="s">
        <v>1724</v>
      </c>
      <c r="M338" s="29">
        <v>5100</v>
      </c>
      <c r="N338" s="29">
        <v>5210</v>
      </c>
      <c r="O338" s="29">
        <v>5070</v>
      </c>
      <c r="P338" s="29">
        <v>5075</v>
      </c>
      <c r="Q338" s="29">
        <v>-40</v>
      </c>
      <c r="R338" s="35">
        <v>-0.78</v>
      </c>
      <c r="S338" s="29">
        <v>1.0907E-2</v>
      </c>
      <c r="T338" s="29">
        <v>0.55945294999999995</v>
      </c>
      <c r="U338" s="29">
        <v>400.92500000000001</v>
      </c>
    </row>
    <row r="339" spans="7:21">
      <c r="G339" s="32">
        <v>20231215</v>
      </c>
      <c r="H339" s="32" t="s">
        <v>2724</v>
      </c>
      <c r="I339" s="33" t="s">
        <v>2725</v>
      </c>
      <c r="J339" s="2" t="s">
        <v>2726</v>
      </c>
      <c r="K339" s="2" t="s">
        <v>1723</v>
      </c>
      <c r="L339" s="2" t="s">
        <v>1724</v>
      </c>
      <c r="M339" s="29">
        <v>6670</v>
      </c>
      <c r="N339" s="29">
        <v>6770</v>
      </c>
      <c r="O339" s="29">
        <v>6655</v>
      </c>
      <c r="P339" s="29">
        <v>6720</v>
      </c>
      <c r="Q339" s="29">
        <v>80</v>
      </c>
      <c r="R339" s="35">
        <v>1.2</v>
      </c>
      <c r="S339" s="29">
        <v>1.0874999999999999E-2</v>
      </c>
      <c r="T339" s="29">
        <v>0.72819694999999995</v>
      </c>
      <c r="U339" s="29">
        <v>114.24</v>
      </c>
    </row>
    <row r="340" spans="7:21">
      <c r="G340" s="32">
        <v>20231215</v>
      </c>
      <c r="H340" s="32" t="s">
        <v>2727</v>
      </c>
      <c r="I340" s="33" t="s">
        <v>2728</v>
      </c>
      <c r="J340" s="2" t="s">
        <v>2729</v>
      </c>
      <c r="K340" s="2" t="s">
        <v>1723</v>
      </c>
      <c r="L340" s="2" t="s">
        <v>1724</v>
      </c>
      <c r="M340" s="29">
        <v>15290</v>
      </c>
      <c r="N340" s="29">
        <v>15820</v>
      </c>
      <c r="O340" s="29">
        <v>15290</v>
      </c>
      <c r="P340" s="29">
        <v>15665</v>
      </c>
      <c r="Q340" s="29">
        <v>495</v>
      </c>
      <c r="R340" s="35">
        <v>3.26</v>
      </c>
      <c r="S340" s="29">
        <v>1.0834E-2</v>
      </c>
      <c r="T340" s="29">
        <v>1.6942695000000001</v>
      </c>
      <c r="U340" s="29">
        <v>142.5515</v>
      </c>
    </row>
    <row r="341" spans="7:21">
      <c r="G341" s="32">
        <v>20231215</v>
      </c>
      <c r="H341" s="32" t="s">
        <v>2730</v>
      </c>
      <c r="I341" s="33" t="s">
        <v>2731</v>
      </c>
      <c r="J341" s="2" t="s">
        <v>2732</v>
      </c>
      <c r="K341" s="2" t="s">
        <v>1723</v>
      </c>
      <c r="L341" s="2" t="s">
        <v>1724</v>
      </c>
      <c r="M341" s="29">
        <v>2215</v>
      </c>
      <c r="N341" s="29">
        <v>2215</v>
      </c>
      <c r="O341" s="29">
        <v>2170</v>
      </c>
      <c r="P341" s="29">
        <v>2170</v>
      </c>
      <c r="Q341" s="29">
        <v>-25</v>
      </c>
      <c r="R341" s="35">
        <v>-1.1399999999999999</v>
      </c>
      <c r="S341" s="29">
        <v>1.0404999999999999E-2</v>
      </c>
      <c r="T341" s="29">
        <v>0.22813225000000001</v>
      </c>
      <c r="U341" s="29">
        <v>45.57</v>
      </c>
    </row>
    <row r="342" spans="7:21">
      <c r="G342" s="32">
        <v>20231215</v>
      </c>
      <c r="H342" s="32" t="s">
        <v>2733</v>
      </c>
      <c r="I342" s="33" t="s">
        <v>2734</v>
      </c>
      <c r="J342" s="2" t="s">
        <v>2735</v>
      </c>
      <c r="K342" s="2" t="s">
        <v>1723</v>
      </c>
      <c r="L342" s="2" t="s">
        <v>1724</v>
      </c>
      <c r="M342" s="29">
        <v>13665</v>
      </c>
      <c r="N342" s="29">
        <v>13665</v>
      </c>
      <c r="O342" s="29">
        <v>13535</v>
      </c>
      <c r="P342" s="29">
        <v>13635</v>
      </c>
      <c r="Q342" s="29">
        <v>95</v>
      </c>
      <c r="R342" s="35">
        <v>0.7</v>
      </c>
      <c r="S342" s="29">
        <v>1.0225E-2</v>
      </c>
      <c r="T342" s="29">
        <v>1.3897732</v>
      </c>
      <c r="U342" s="29">
        <v>1936.17</v>
      </c>
    </row>
    <row r="343" spans="7:21">
      <c r="G343" s="32">
        <v>20231215</v>
      </c>
      <c r="H343" s="32" t="s">
        <v>2736</v>
      </c>
      <c r="I343" s="33" t="s">
        <v>2737</v>
      </c>
      <c r="J343" s="2" t="s">
        <v>2738</v>
      </c>
      <c r="K343" s="2" t="s">
        <v>1723</v>
      </c>
      <c r="L343" s="2" t="s">
        <v>1724</v>
      </c>
      <c r="M343" s="29">
        <v>9995</v>
      </c>
      <c r="N343" s="29">
        <v>9995</v>
      </c>
      <c r="O343" s="29">
        <v>9945</v>
      </c>
      <c r="P343" s="29">
        <v>9995</v>
      </c>
      <c r="Q343" s="29">
        <v>-95</v>
      </c>
      <c r="R343" s="35">
        <v>-0.94</v>
      </c>
      <c r="S343" s="29">
        <v>1.0030000000000001E-2</v>
      </c>
      <c r="T343" s="29">
        <v>0.99808640000000004</v>
      </c>
      <c r="U343" s="29">
        <v>71.963999999999999</v>
      </c>
    </row>
    <row r="344" spans="7:21">
      <c r="G344" s="32">
        <v>20231215</v>
      </c>
      <c r="H344" s="32" t="s">
        <v>2739</v>
      </c>
      <c r="I344" s="33" t="s">
        <v>2740</v>
      </c>
      <c r="J344" s="2" t="s">
        <v>2741</v>
      </c>
      <c r="K344" s="2" t="s">
        <v>1723</v>
      </c>
      <c r="L344" s="2" t="s">
        <v>1724</v>
      </c>
      <c r="M344" s="29">
        <v>7760</v>
      </c>
      <c r="N344" s="29">
        <v>7795</v>
      </c>
      <c r="O344" s="29">
        <v>7695</v>
      </c>
      <c r="P344" s="29">
        <v>7795</v>
      </c>
      <c r="Q344" s="29">
        <v>120</v>
      </c>
      <c r="R344" s="35">
        <v>1.56</v>
      </c>
      <c r="S344" s="29">
        <v>9.9500000000000005E-3</v>
      </c>
      <c r="T344" s="29">
        <v>0.77427690000000005</v>
      </c>
      <c r="U344" s="29">
        <v>121.602</v>
      </c>
    </row>
    <row r="345" spans="7:21">
      <c r="G345" s="32">
        <v>20231215</v>
      </c>
      <c r="H345" s="32" t="s">
        <v>2742</v>
      </c>
      <c r="I345" s="33" t="s">
        <v>2743</v>
      </c>
      <c r="J345" s="2" t="s">
        <v>2744</v>
      </c>
      <c r="K345" s="2" t="s">
        <v>1723</v>
      </c>
      <c r="L345" s="2" t="s">
        <v>1724</v>
      </c>
      <c r="M345" s="29">
        <v>10050</v>
      </c>
      <c r="N345" s="29">
        <v>10085</v>
      </c>
      <c r="O345" s="29">
        <v>10045</v>
      </c>
      <c r="P345" s="29">
        <v>10080</v>
      </c>
      <c r="Q345" s="29">
        <v>75</v>
      </c>
      <c r="R345" s="35">
        <v>0.75</v>
      </c>
      <c r="S345" s="29">
        <v>9.9319999999999999E-3</v>
      </c>
      <c r="T345" s="29">
        <v>0.99958820000000004</v>
      </c>
      <c r="U345" s="29">
        <v>80.64</v>
      </c>
    </row>
    <row r="346" spans="7:21">
      <c r="G346" s="32">
        <v>20231215</v>
      </c>
      <c r="H346" s="32" t="s">
        <v>2745</v>
      </c>
      <c r="I346" s="33" t="s">
        <v>2746</v>
      </c>
      <c r="J346" s="2" t="s">
        <v>2747</v>
      </c>
      <c r="K346" s="2" t="s">
        <v>1723</v>
      </c>
      <c r="L346" s="2" t="s">
        <v>1724</v>
      </c>
      <c r="M346" s="29">
        <v>14465</v>
      </c>
      <c r="N346" s="29">
        <v>14615</v>
      </c>
      <c r="O346" s="29">
        <v>14455</v>
      </c>
      <c r="P346" s="29">
        <v>14510</v>
      </c>
      <c r="Q346" s="29">
        <v>75</v>
      </c>
      <c r="R346" s="35">
        <v>0.52</v>
      </c>
      <c r="S346" s="29">
        <v>9.8569999999999994E-3</v>
      </c>
      <c r="T346" s="29">
        <v>1.4357857000000001</v>
      </c>
      <c r="U346" s="29">
        <v>10316.61</v>
      </c>
    </row>
    <row r="347" spans="7:21">
      <c r="G347" s="32">
        <v>20231215</v>
      </c>
      <c r="H347" s="32" t="s">
        <v>2748</v>
      </c>
      <c r="I347" s="33" t="s">
        <v>2749</v>
      </c>
      <c r="J347" s="2" t="s">
        <v>2750</v>
      </c>
      <c r="K347" s="2" t="s">
        <v>1723</v>
      </c>
      <c r="L347" s="2" t="s">
        <v>1724</v>
      </c>
      <c r="M347" s="29">
        <v>16900</v>
      </c>
      <c r="N347" s="29">
        <v>17255</v>
      </c>
      <c r="O347" s="29">
        <v>16900</v>
      </c>
      <c r="P347" s="29">
        <v>17240</v>
      </c>
      <c r="Q347" s="29">
        <v>485</v>
      </c>
      <c r="R347" s="35">
        <v>2.89</v>
      </c>
      <c r="S347" s="29">
        <v>9.8359999999999993E-3</v>
      </c>
      <c r="T347" s="29">
        <v>1.6886865499999999</v>
      </c>
      <c r="U347" s="29">
        <v>956.82</v>
      </c>
    </row>
    <row r="348" spans="7:21">
      <c r="G348" s="32">
        <v>20231215</v>
      </c>
      <c r="H348" s="32" t="s">
        <v>2751</v>
      </c>
      <c r="I348" s="33" t="s">
        <v>2752</v>
      </c>
      <c r="J348" s="2" t="s">
        <v>2753</v>
      </c>
      <c r="K348" s="2" t="s">
        <v>1723</v>
      </c>
      <c r="L348" s="2" t="s">
        <v>1724</v>
      </c>
      <c r="M348" s="29">
        <v>9525</v>
      </c>
      <c r="N348" s="29">
        <v>9705</v>
      </c>
      <c r="O348" s="29">
        <v>9515</v>
      </c>
      <c r="P348" s="29">
        <v>9540</v>
      </c>
      <c r="Q348" s="29">
        <v>145</v>
      </c>
      <c r="R348" s="35">
        <v>1.54</v>
      </c>
      <c r="S348" s="29">
        <v>9.8130000000000005E-3</v>
      </c>
      <c r="T348" s="29">
        <v>0.94101754999999998</v>
      </c>
      <c r="U348" s="29">
        <v>66.78</v>
      </c>
    </row>
    <row r="349" spans="7:21">
      <c r="G349" s="32">
        <v>20231215</v>
      </c>
      <c r="H349" s="32" t="s">
        <v>2754</v>
      </c>
      <c r="I349" s="33" t="s">
        <v>2755</v>
      </c>
      <c r="J349" s="2" t="s">
        <v>2756</v>
      </c>
      <c r="K349" s="2" t="s">
        <v>1723</v>
      </c>
      <c r="L349" s="2" t="s">
        <v>1724</v>
      </c>
      <c r="M349" s="29">
        <v>17520</v>
      </c>
      <c r="N349" s="29">
        <v>17520</v>
      </c>
      <c r="O349" s="29">
        <v>17110</v>
      </c>
      <c r="P349" s="29">
        <v>17115</v>
      </c>
      <c r="Q349" s="29">
        <v>-375</v>
      </c>
      <c r="R349" s="35">
        <v>-2.14</v>
      </c>
      <c r="S349" s="29">
        <v>9.8099999999999993E-3</v>
      </c>
      <c r="T349" s="29">
        <v>1.70001365</v>
      </c>
      <c r="U349" s="29">
        <v>345.72300000000001</v>
      </c>
    </row>
    <row r="350" spans="7:21">
      <c r="G350" s="32">
        <v>20231215</v>
      </c>
      <c r="H350" s="32" t="s">
        <v>2757</v>
      </c>
      <c r="I350" s="33" t="s">
        <v>2758</v>
      </c>
      <c r="J350" s="2" t="s">
        <v>2759</v>
      </c>
      <c r="K350" s="2" t="s">
        <v>1723</v>
      </c>
      <c r="L350" s="2" t="s">
        <v>1724</v>
      </c>
      <c r="M350" s="29">
        <v>19355</v>
      </c>
      <c r="N350" s="29">
        <v>19360</v>
      </c>
      <c r="O350" s="29">
        <v>19315</v>
      </c>
      <c r="P350" s="29">
        <v>19360</v>
      </c>
      <c r="Q350" s="29">
        <v>-30</v>
      </c>
      <c r="R350" s="35">
        <v>-0.15</v>
      </c>
      <c r="S350" s="29">
        <v>9.5449999999999997E-3</v>
      </c>
      <c r="T350" s="29">
        <v>1.8462731999999999</v>
      </c>
      <c r="U350" s="29">
        <v>619.52</v>
      </c>
    </row>
    <row r="351" spans="7:21">
      <c r="G351" s="32">
        <v>20231215</v>
      </c>
      <c r="H351" s="32" t="s">
        <v>2760</v>
      </c>
      <c r="I351" s="33" t="s">
        <v>2761</v>
      </c>
      <c r="J351" s="2" t="s">
        <v>2762</v>
      </c>
      <c r="K351" s="2" t="s">
        <v>1723</v>
      </c>
      <c r="L351" s="2" t="s">
        <v>1724</v>
      </c>
      <c r="M351" s="29">
        <v>11060</v>
      </c>
      <c r="N351" s="29">
        <v>11340</v>
      </c>
      <c r="O351" s="29">
        <v>11060</v>
      </c>
      <c r="P351" s="29">
        <v>11180</v>
      </c>
      <c r="Q351" s="29">
        <v>120</v>
      </c>
      <c r="R351" s="35">
        <v>1.08</v>
      </c>
      <c r="S351" s="29">
        <v>9.4979999999999995E-3</v>
      </c>
      <c r="T351" s="29">
        <v>1.0662447500000001</v>
      </c>
      <c r="U351" s="29">
        <v>143.10400000000001</v>
      </c>
    </row>
    <row r="352" spans="7:21">
      <c r="G352" s="32">
        <v>20231215</v>
      </c>
      <c r="H352" s="32" t="s">
        <v>2763</v>
      </c>
      <c r="I352" s="33" t="s">
        <v>2764</v>
      </c>
      <c r="J352" s="2" t="s">
        <v>2765</v>
      </c>
      <c r="K352" s="2" t="s">
        <v>1723</v>
      </c>
      <c r="L352" s="2" t="s">
        <v>1724</v>
      </c>
      <c r="M352" s="29">
        <v>10810</v>
      </c>
      <c r="N352" s="29">
        <v>10815</v>
      </c>
      <c r="O352" s="29">
        <v>10745</v>
      </c>
      <c r="P352" s="29">
        <v>10805</v>
      </c>
      <c r="Q352" s="29">
        <v>-10</v>
      </c>
      <c r="R352" s="35">
        <v>-0.09</v>
      </c>
      <c r="S352" s="29">
        <v>9.4070000000000004E-3</v>
      </c>
      <c r="T352" s="29">
        <v>1.0147496499999999</v>
      </c>
      <c r="U352" s="29">
        <v>113.4525</v>
      </c>
    </row>
    <row r="353" spans="7:21">
      <c r="G353" s="32">
        <v>20231215</v>
      </c>
      <c r="H353" s="32" t="s">
        <v>2766</v>
      </c>
      <c r="I353" s="33" t="s">
        <v>2767</v>
      </c>
      <c r="J353" s="2" t="s">
        <v>2768</v>
      </c>
      <c r="K353" s="2" t="s">
        <v>1723</v>
      </c>
      <c r="L353" s="2" t="s">
        <v>1724</v>
      </c>
      <c r="M353" s="29">
        <v>8820</v>
      </c>
      <c r="N353" s="29">
        <v>8820</v>
      </c>
      <c r="O353" s="29">
        <v>8715</v>
      </c>
      <c r="P353" s="29">
        <v>8790</v>
      </c>
      <c r="Q353" s="29">
        <v>100</v>
      </c>
      <c r="R353" s="35">
        <v>1.1499999999999999</v>
      </c>
      <c r="S353" s="29">
        <v>9.2580000000000006E-3</v>
      </c>
      <c r="T353" s="29">
        <v>0.81473379999999995</v>
      </c>
      <c r="U353" s="29">
        <v>263.7</v>
      </c>
    </row>
    <row r="354" spans="7:21">
      <c r="G354" s="32">
        <v>20231215</v>
      </c>
      <c r="H354" s="32" t="s">
        <v>2769</v>
      </c>
      <c r="I354" s="33" t="s">
        <v>2770</v>
      </c>
      <c r="J354" s="2" t="s">
        <v>2771</v>
      </c>
      <c r="K354" s="2" t="s">
        <v>1723</v>
      </c>
      <c r="L354" s="2" t="s">
        <v>1724</v>
      </c>
      <c r="M354" s="29">
        <v>18390</v>
      </c>
      <c r="N354" s="29">
        <v>18620</v>
      </c>
      <c r="O354" s="29">
        <v>18390</v>
      </c>
      <c r="P354" s="29">
        <v>18590</v>
      </c>
      <c r="Q354" s="29">
        <v>455</v>
      </c>
      <c r="R354" s="35">
        <v>2.5099999999999998</v>
      </c>
      <c r="S354" s="29">
        <v>9.0959999999999999E-3</v>
      </c>
      <c r="T354" s="29">
        <v>1.6881629499999999</v>
      </c>
      <c r="U354" s="29">
        <v>438.72399999999999</v>
      </c>
    </row>
    <row r="355" spans="7:21">
      <c r="G355" s="32">
        <v>20231215</v>
      </c>
      <c r="H355" s="32" t="s">
        <v>2772</v>
      </c>
      <c r="I355" s="33" t="s">
        <v>2773</v>
      </c>
      <c r="J355" s="2" t="s">
        <v>2774</v>
      </c>
      <c r="K355" s="2" t="s">
        <v>1723</v>
      </c>
      <c r="L355" s="2" t="s">
        <v>1724</v>
      </c>
      <c r="M355" s="29">
        <v>13860</v>
      </c>
      <c r="N355" s="29">
        <v>13860</v>
      </c>
      <c r="O355" s="29">
        <v>13790</v>
      </c>
      <c r="P355" s="29">
        <v>13820</v>
      </c>
      <c r="Q355" s="29">
        <v>25</v>
      </c>
      <c r="R355" s="35">
        <v>0.18</v>
      </c>
      <c r="S355" s="29">
        <v>9.0100000000000006E-3</v>
      </c>
      <c r="T355" s="29">
        <v>1.2448473499999999</v>
      </c>
      <c r="U355" s="29">
        <v>317.86</v>
      </c>
    </row>
    <row r="356" spans="7:21">
      <c r="G356" s="32">
        <v>20231215</v>
      </c>
      <c r="H356" s="32" t="s">
        <v>2775</v>
      </c>
      <c r="I356" s="33" t="s">
        <v>2776</v>
      </c>
      <c r="J356" s="2" t="s">
        <v>2777</v>
      </c>
      <c r="K356" s="2" t="s">
        <v>1723</v>
      </c>
      <c r="L356" s="2" t="s">
        <v>1724</v>
      </c>
      <c r="M356" s="29">
        <v>8790</v>
      </c>
      <c r="N356" s="29">
        <v>8795</v>
      </c>
      <c r="O356" s="29">
        <v>8690</v>
      </c>
      <c r="P356" s="29">
        <v>8725</v>
      </c>
      <c r="Q356" s="29">
        <v>25</v>
      </c>
      <c r="R356" s="35">
        <v>0.28999999999999998</v>
      </c>
      <c r="S356" s="29">
        <v>8.6960000000000006E-3</v>
      </c>
      <c r="T356" s="29">
        <v>0.75805314999999995</v>
      </c>
      <c r="U356" s="29">
        <v>1430.9</v>
      </c>
    </row>
    <row r="357" spans="7:21">
      <c r="G357" s="32">
        <v>20231215</v>
      </c>
      <c r="H357" s="32" t="s">
        <v>2778</v>
      </c>
      <c r="I357" s="33" t="s">
        <v>2779</v>
      </c>
      <c r="J357" s="2" t="s">
        <v>2780</v>
      </c>
      <c r="K357" s="2" t="s">
        <v>1723</v>
      </c>
      <c r="L357" s="2" t="s">
        <v>1724</v>
      </c>
      <c r="M357" s="29">
        <v>8850</v>
      </c>
      <c r="N357" s="29">
        <v>8900</v>
      </c>
      <c r="O357" s="29">
        <v>8845</v>
      </c>
      <c r="P357" s="29">
        <v>8880</v>
      </c>
      <c r="Q357" s="29">
        <v>60</v>
      </c>
      <c r="R357" s="35">
        <v>0.68</v>
      </c>
      <c r="S357" s="29">
        <v>8.5819999999999994E-3</v>
      </c>
      <c r="T357" s="29">
        <v>0.76266149999999999</v>
      </c>
      <c r="U357" s="29">
        <v>106.56</v>
      </c>
    </row>
    <row r="358" spans="7:21">
      <c r="G358" s="32">
        <v>20231215</v>
      </c>
      <c r="H358" s="32" t="s">
        <v>2781</v>
      </c>
      <c r="I358" s="33" t="s">
        <v>2782</v>
      </c>
      <c r="J358" s="2" t="s">
        <v>2783</v>
      </c>
      <c r="K358" s="2" t="s">
        <v>1723</v>
      </c>
      <c r="L358" s="2" t="s">
        <v>1724</v>
      </c>
      <c r="M358" s="29">
        <v>12415</v>
      </c>
      <c r="N358" s="29">
        <v>12415</v>
      </c>
      <c r="O358" s="29">
        <v>12260</v>
      </c>
      <c r="P358" s="29">
        <v>12370</v>
      </c>
      <c r="Q358" s="29">
        <v>-100</v>
      </c>
      <c r="R358" s="35">
        <v>-0.8</v>
      </c>
      <c r="S358" s="29">
        <v>8.5509999999999996E-3</v>
      </c>
      <c r="T358" s="29">
        <v>1.0518758500000001</v>
      </c>
      <c r="U358" s="29">
        <v>68.034999999999997</v>
      </c>
    </row>
    <row r="359" spans="7:21">
      <c r="G359" s="32">
        <v>20231215</v>
      </c>
      <c r="H359" s="32" t="s">
        <v>2784</v>
      </c>
      <c r="I359" s="33" t="s">
        <v>2785</v>
      </c>
      <c r="J359" s="2" t="s">
        <v>2786</v>
      </c>
      <c r="K359" s="2" t="s">
        <v>1723</v>
      </c>
      <c r="L359" s="2" t="s">
        <v>1724</v>
      </c>
      <c r="M359" s="29">
        <v>12115</v>
      </c>
      <c r="N359" s="29">
        <v>12315</v>
      </c>
      <c r="O359" s="29">
        <v>12115</v>
      </c>
      <c r="P359" s="29">
        <v>12250</v>
      </c>
      <c r="Q359" s="29">
        <v>140</v>
      </c>
      <c r="R359" s="35">
        <v>1.1599999999999999</v>
      </c>
      <c r="S359" s="29">
        <v>8.4779999999999994E-3</v>
      </c>
      <c r="T359" s="29">
        <v>1.0401213499999999</v>
      </c>
      <c r="U359" s="29">
        <v>134.75</v>
      </c>
    </row>
    <row r="360" spans="7:21">
      <c r="G360" s="32">
        <v>20231215</v>
      </c>
      <c r="H360" s="32" t="s">
        <v>2787</v>
      </c>
      <c r="I360" s="33" t="s">
        <v>2788</v>
      </c>
      <c r="J360" s="2" t="s">
        <v>2789</v>
      </c>
      <c r="K360" s="2" t="s">
        <v>1723</v>
      </c>
      <c r="L360" s="2" t="s">
        <v>1724</v>
      </c>
      <c r="M360" s="29">
        <v>6905</v>
      </c>
      <c r="N360" s="29">
        <v>6925</v>
      </c>
      <c r="O360" s="29">
        <v>6875</v>
      </c>
      <c r="P360" s="29">
        <v>6915</v>
      </c>
      <c r="Q360" s="29">
        <v>10</v>
      </c>
      <c r="R360" s="35">
        <v>0.14000000000000001</v>
      </c>
      <c r="S360" s="29">
        <v>8.4480000000000006E-3</v>
      </c>
      <c r="T360" s="29">
        <v>0.58407845000000003</v>
      </c>
      <c r="U360" s="29">
        <v>34.575000000000003</v>
      </c>
    </row>
    <row r="361" spans="7:21">
      <c r="G361" s="32">
        <v>20231215</v>
      </c>
      <c r="H361" s="32" t="s">
        <v>2790</v>
      </c>
      <c r="I361" s="33" t="s">
        <v>2791</v>
      </c>
      <c r="J361" s="2" t="s">
        <v>2792</v>
      </c>
      <c r="K361" s="2" t="s">
        <v>1723</v>
      </c>
      <c r="L361" s="2" t="s">
        <v>1724</v>
      </c>
      <c r="M361" s="29">
        <v>10760</v>
      </c>
      <c r="N361" s="29">
        <v>10820</v>
      </c>
      <c r="O361" s="29">
        <v>10760</v>
      </c>
      <c r="P361" s="29">
        <v>10770</v>
      </c>
      <c r="Q361" s="29">
        <v>-30</v>
      </c>
      <c r="R361" s="35">
        <v>-0.28000000000000003</v>
      </c>
      <c r="S361" s="29">
        <v>8.1939999999999999E-3</v>
      </c>
      <c r="T361" s="29">
        <v>0.88399240000000001</v>
      </c>
      <c r="U361" s="29">
        <v>244.47900000000001</v>
      </c>
    </row>
    <row r="362" spans="7:21">
      <c r="G362" s="32">
        <v>20231215</v>
      </c>
      <c r="H362" s="32" t="s">
        <v>2793</v>
      </c>
      <c r="I362" s="33" t="s">
        <v>2794</v>
      </c>
      <c r="J362" s="2" t="s">
        <v>2795</v>
      </c>
      <c r="K362" s="2" t="s">
        <v>1723</v>
      </c>
      <c r="L362" s="2" t="s">
        <v>1724</v>
      </c>
      <c r="M362" s="29">
        <v>17970</v>
      </c>
      <c r="N362" s="29">
        <v>18015</v>
      </c>
      <c r="O362" s="29">
        <v>17755</v>
      </c>
      <c r="P362" s="29">
        <v>17915</v>
      </c>
      <c r="Q362" s="29">
        <v>-15</v>
      </c>
      <c r="R362" s="35">
        <v>-0.08</v>
      </c>
      <c r="S362" s="29">
        <v>8.0660000000000003E-3</v>
      </c>
      <c r="T362" s="29">
        <v>1.4461721999999999</v>
      </c>
      <c r="U362" s="29">
        <v>179.15</v>
      </c>
    </row>
    <row r="363" spans="7:21">
      <c r="G363" s="32">
        <v>20231215</v>
      </c>
      <c r="H363" s="32" t="s">
        <v>2796</v>
      </c>
      <c r="I363" s="33" t="s">
        <v>2797</v>
      </c>
      <c r="J363" s="2" t="s">
        <v>2798</v>
      </c>
      <c r="K363" s="2" t="s">
        <v>1723</v>
      </c>
      <c r="L363" s="2" t="s">
        <v>1724</v>
      </c>
      <c r="M363" s="29">
        <v>108910</v>
      </c>
      <c r="N363" s="29">
        <v>108960</v>
      </c>
      <c r="O363" s="29">
        <v>108790</v>
      </c>
      <c r="P363" s="29">
        <v>108875</v>
      </c>
      <c r="Q363" s="29">
        <v>85</v>
      </c>
      <c r="R363" s="35">
        <v>0.08</v>
      </c>
      <c r="S363" s="29">
        <v>7.8139999999999998E-3</v>
      </c>
      <c r="T363" s="29">
        <v>8.5067158999999997</v>
      </c>
      <c r="U363" s="29">
        <v>28673.32</v>
      </c>
    </row>
    <row r="364" spans="7:21">
      <c r="G364" s="32">
        <v>20231215</v>
      </c>
      <c r="H364" s="32" t="s">
        <v>2799</v>
      </c>
      <c r="I364" s="33" t="s">
        <v>2800</v>
      </c>
      <c r="J364" s="2" t="s">
        <v>2801</v>
      </c>
      <c r="K364" s="2" t="s">
        <v>1723</v>
      </c>
      <c r="L364" s="2" t="s">
        <v>1724</v>
      </c>
      <c r="M364" s="29">
        <v>11480</v>
      </c>
      <c r="N364" s="29">
        <v>11590</v>
      </c>
      <c r="O364" s="29">
        <v>11475</v>
      </c>
      <c r="P364" s="29">
        <v>11555</v>
      </c>
      <c r="Q364" s="29">
        <v>125</v>
      </c>
      <c r="R364" s="35">
        <v>1.0900000000000001</v>
      </c>
      <c r="S364" s="29">
        <v>7.803E-3</v>
      </c>
      <c r="T364" s="29">
        <v>0.89691140000000003</v>
      </c>
      <c r="U364" s="29">
        <v>51.997500000000002</v>
      </c>
    </row>
    <row r="365" spans="7:21">
      <c r="G365" s="32">
        <v>20231215</v>
      </c>
      <c r="H365" s="32" t="s">
        <v>2802</v>
      </c>
      <c r="I365" s="33" t="s">
        <v>2803</v>
      </c>
      <c r="J365" s="2" t="s">
        <v>2804</v>
      </c>
      <c r="K365" s="2" t="s">
        <v>1723</v>
      </c>
      <c r="L365" s="2" t="s">
        <v>1724</v>
      </c>
      <c r="M365" s="29">
        <v>6850</v>
      </c>
      <c r="N365" s="29">
        <v>6850</v>
      </c>
      <c r="O365" s="29">
        <v>6780</v>
      </c>
      <c r="P365" s="29">
        <v>6780</v>
      </c>
      <c r="Q365" s="29">
        <v>-35</v>
      </c>
      <c r="R365" s="35">
        <v>-0.51</v>
      </c>
      <c r="S365" s="29">
        <v>7.7140000000000004E-3</v>
      </c>
      <c r="T365" s="29">
        <v>0.52491019999999999</v>
      </c>
      <c r="U365" s="29">
        <v>230.52</v>
      </c>
    </row>
    <row r="366" spans="7:21">
      <c r="G366" s="32">
        <v>20231215</v>
      </c>
      <c r="H366" s="32" t="s">
        <v>2805</v>
      </c>
      <c r="I366" s="33" t="s">
        <v>2806</v>
      </c>
      <c r="J366" s="2" t="s">
        <v>2807</v>
      </c>
      <c r="K366" s="2" t="s">
        <v>1723</v>
      </c>
      <c r="L366" s="2" t="s">
        <v>1724</v>
      </c>
      <c r="M366" s="29">
        <v>52105</v>
      </c>
      <c r="N366" s="29">
        <v>52105</v>
      </c>
      <c r="O366" s="29">
        <v>51935</v>
      </c>
      <c r="P366" s="29">
        <v>51965</v>
      </c>
      <c r="Q366" s="29">
        <v>-145</v>
      </c>
      <c r="R366" s="35">
        <v>-0.28000000000000003</v>
      </c>
      <c r="S366" s="29">
        <v>7.5459999999999998E-3</v>
      </c>
      <c r="T366" s="29">
        <v>3.9210226499999998</v>
      </c>
      <c r="U366" s="29">
        <v>2410.1367</v>
      </c>
    </row>
    <row r="367" spans="7:21">
      <c r="G367" s="32">
        <v>20231215</v>
      </c>
      <c r="H367" s="32" t="s">
        <v>2808</v>
      </c>
      <c r="I367" s="33" t="s">
        <v>2809</v>
      </c>
      <c r="J367" s="2" t="s">
        <v>2810</v>
      </c>
      <c r="K367" s="2" t="s">
        <v>1723</v>
      </c>
      <c r="L367" s="2" t="s">
        <v>1724</v>
      </c>
      <c r="M367" s="29">
        <v>13635</v>
      </c>
      <c r="N367" s="29">
        <v>13675</v>
      </c>
      <c r="O367" s="29">
        <v>13635</v>
      </c>
      <c r="P367" s="29">
        <v>13660</v>
      </c>
      <c r="Q367" s="29">
        <v>-120</v>
      </c>
      <c r="R367" s="35">
        <v>-0.87</v>
      </c>
      <c r="S367" s="29">
        <v>7.5420000000000001E-3</v>
      </c>
      <c r="T367" s="29">
        <v>1.0308755000000001</v>
      </c>
      <c r="U367" s="29">
        <v>163.92</v>
      </c>
    </row>
    <row r="368" spans="7:21">
      <c r="G368" s="32">
        <v>20231215</v>
      </c>
      <c r="H368" s="32" t="s">
        <v>2811</v>
      </c>
      <c r="I368" s="33" t="s">
        <v>2812</v>
      </c>
      <c r="J368" s="2" t="s">
        <v>2813</v>
      </c>
      <c r="K368" s="2" t="s">
        <v>1723</v>
      </c>
      <c r="L368" s="2" t="s">
        <v>1724</v>
      </c>
      <c r="M368" s="29">
        <v>11195</v>
      </c>
      <c r="N368" s="29">
        <v>11195</v>
      </c>
      <c r="O368" s="29">
        <v>11145</v>
      </c>
      <c r="P368" s="29">
        <v>11160</v>
      </c>
      <c r="Q368" s="29">
        <v>15</v>
      </c>
      <c r="R368" s="35">
        <v>0.13</v>
      </c>
      <c r="S368" s="29">
        <v>7.5170000000000002E-3</v>
      </c>
      <c r="T368" s="29">
        <v>0.78217884999999998</v>
      </c>
      <c r="U368" s="29">
        <v>133.91999999999999</v>
      </c>
    </row>
    <row r="369" spans="7:21">
      <c r="G369" s="32">
        <v>20231215</v>
      </c>
      <c r="H369" s="32" t="s">
        <v>2814</v>
      </c>
      <c r="I369" s="33" t="s">
        <v>2815</v>
      </c>
      <c r="J369" s="2" t="s">
        <v>2816</v>
      </c>
      <c r="K369" s="2" t="s">
        <v>1723</v>
      </c>
      <c r="L369" s="2" t="s">
        <v>1724</v>
      </c>
      <c r="M369" s="29">
        <v>7795</v>
      </c>
      <c r="N369" s="29">
        <v>8115</v>
      </c>
      <c r="O369" s="29">
        <v>7795</v>
      </c>
      <c r="P369" s="29">
        <v>7945</v>
      </c>
      <c r="Q369" s="29">
        <v>220</v>
      </c>
      <c r="R369" s="35">
        <v>2.85</v>
      </c>
      <c r="S369" s="29">
        <v>7.5100000000000002E-3</v>
      </c>
      <c r="T369" s="29">
        <v>0.60147295000000001</v>
      </c>
      <c r="U369" s="29">
        <v>39.725000000000001</v>
      </c>
    </row>
    <row r="370" spans="7:21">
      <c r="G370" s="32">
        <v>20231215</v>
      </c>
      <c r="H370" s="32" t="s">
        <v>2817</v>
      </c>
      <c r="I370" s="33" t="s">
        <v>2818</v>
      </c>
      <c r="J370" s="2" t="s">
        <v>2819</v>
      </c>
      <c r="K370" s="2" t="s">
        <v>1723</v>
      </c>
      <c r="L370" s="2" t="s">
        <v>1724</v>
      </c>
      <c r="M370" s="29">
        <v>7150</v>
      </c>
      <c r="N370" s="29">
        <v>7475</v>
      </c>
      <c r="O370" s="29">
        <v>7150</v>
      </c>
      <c r="P370" s="29">
        <v>7415</v>
      </c>
      <c r="Q370" s="29">
        <v>415</v>
      </c>
      <c r="R370" s="35">
        <v>5.93</v>
      </c>
      <c r="S370" s="29">
        <v>7.4640000000000001E-3</v>
      </c>
      <c r="T370" s="29">
        <v>0.55261119999999997</v>
      </c>
      <c r="U370" s="29">
        <v>96.394999999999996</v>
      </c>
    </row>
    <row r="371" spans="7:21">
      <c r="G371" s="32">
        <v>20231215</v>
      </c>
      <c r="H371" s="32" t="s">
        <v>2820</v>
      </c>
      <c r="I371" s="33" t="s">
        <v>2821</v>
      </c>
      <c r="J371" s="2" t="s">
        <v>2822</v>
      </c>
      <c r="K371" s="2" t="s">
        <v>1723</v>
      </c>
      <c r="L371" s="2" t="s">
        <v>1724</v>
      </c>
      <c r="M371" s="29">
        <v>20595</v>
      </c>
      <c r="N371" s="29">
        <v>20595</v>
      </c>
      <c r="O371" s="29">
        <v>20060</v>
      </c>
      <c r="P371" s="29">
        <v>20285</v>
      </c>
      <c r="Q371" s="29">
        <v>15</v>
      </c>
      <c r="R371" s="35">
        <v>7.0000000000000007E-2</v>
      </c>
      <c r="S371" s="29">
        <v>7.4190000000000002E-3</v>
      </c>
      <c r="T371" s="29">
        <v>1.5028351499999999</v>
      </c>
      <c r="U371" s="29">
        <v>381.358</v>
      </c>
    </row>
    <row r="372" spans="7:21">
      <c r="G372" s="32">
        <v>20231215</v>
      </c>
      <c r="H372" s="32" t="s">
        <v>2823</v>
      </c>
      <c r="I372" s="33" t="s">
        <v>2824</v>
      </c>
      <c r="J372" s="2" t="s">
        <v>2825</v>
      </c>
      <c r="K372" s="2" t="s">
        <v>1723</v>
      </c>
      <c r="L372" s="2" t="s">
        <v>1724</v>
      </c>
      <c r="M372" s="29">
        <v>6470</v>
      </c>
      <c r="N372" s="29">
        <v>6500</v>
      </c>
      <c r="O372" s="29">
        <v>6450</v>
      </c>
      <c r="P372" s="29">
        <v>6465</v>
      </c>
      <c r="Q372" s="29">
        <v>-5</v>
      </c>
      <c r="R372" s="35">
        <v>-0.08</v>
      </c>
      <c r="S372" s="29">
        <v>7.3249999999999999E-3</v>
      </c>
      <c r="T372" s="29">
        <v>0.4733368</v>
      </c>
      <c r="U372" s="29">
        <v>103.44</v>
      </c>
    </row>
    <row r="373" spans="7:21">
      <c r="G373" s="32">
        <v>20231215</v>
      </c>
      <c r="H373" s="32" t="s">
        <v>2826</v>
      </c>
      <c r="I373" s="33" t="s">
        <v>2827</v>
      </c>
      <c r="J373" s="2" t="s">
        <v>2828</v>
      </c>
      <c r="K373" s="2" t="s">
        <v>1723</v>
      </c>
      <c r="L373" s="2" t="s">
        <v>1724</v>
      </c>
      <c r="M373" s="29">
        <v>13830</v>
      </c>
      <c r="N373" s="29">
        <v>13850</v>
      </c>
      <c r="O373" s="29">
        <v>13800</v>
      </c>
      <c r="P373" s="29">
        <v>13845</v>
      </c>
      <c r="Q373" s="29">
        <v>60</v>
      </c>
      <c r="R373" s="35">
        <v>0.44</v>
      </c>
      <c r="S373" s="29">
        <v>7.2899999999999996E-3</v>
      </c>
      <c r="T373" s="29">
        <v>1.0081921</v>
      </c>
      <c r="U373" s="29">
        <v>207.67500000000001</v>
      </c>
    </row>
    <row r="374" spans="7:21">
      <c r="G374" s="32">
        <v>20231215</v>
      </c>
      <c r="H374" s="32" t="s">
        <v>2829</v>
      </c>
      <c r="I374" s="33" t="s">
        <v>2830</v>
      </c>
      <c r="J374" s="2" t="s">
        <v>2831</v>
      </c>
      <c r="K374" s="2" t="s">
        <v>1723</v>
      </c>
      <c r="L374" s="2" t="s">
        <v>1724</v>
      </c>
      <c r="M374" s="29">
        <v>19350</v>
      </c>
      <c r="N374" s="29">
        <v>19615</v>
      </c>
      <c r="O374" s="29">
        <v>19350</v>
      </c>
      <c r="P374" s="29">
        <v>19600</v>
      </c>
      <c r="Q374" s="29">
        <v>405</v>
      </c>
      <c r="R374" s="35">
        <v>2.11</v>
      </c>
      <c r="S374" s="29">
        <v>7.1919999999999996E-3</v>
      </c>
      <c r="T374" s="29">
        <v>1.40814365</v>
      </c>
      <c r="U374" s="29">
        <v>13034</v>
      </c>
    </row>
    <row r="375" spans="7:21">
      <c r="G375" s="32">
        <v>20231215</v>
      </c>
      <c r="H375" s="32" t="s">
        <v>2832</v>
      </c>
      <c r="I375" s="33" t="s">
        <v>2833</v>
      </c>
      <c r="J375" s="2" t="s">
        <v>2834</v>
      </c>
      <c r="K375" s="2" t="s">
        <v>1723</v>
      </c>
      <c r="L375" s="2" t="s">
        <v>1724</v>
      </c>
      <c r="M375" s="29">
        <v>10135</v>
      </c>
      <c r="N375" s="29">
        <v>10185</v>
      </c>
      <c r="O375" s="29">
        <v>10105</v>
      </c>
      <c r="P375" s="29">
        <v>10160</v>
      </c>
      <c r="Q375" s="29">
        <v>120</v>
      </c>
      <c r="R375" s="35">
        <v>1.2</v>
      </c>
      <c r="S375" s="29">
        <v>7.0140000000000003E-3</v>
      </c>
      <c r="T375" s="29">
        <v>0.71163620000000005</v>
      </c>
      <c r="U375" s="29">
        <v>111.76</v>
      </c>
    </row>
    <row r="376" spans="7:21">
      <c r="G376" s="32">
        <v>20231215</v>
      </c>
      <c r="H376" s="32" t="s">
        <v>2835</v>
      </c>
      <c r="I376" s="33" t="s">
        <v>2836</v>
      </c>
      <c r="J376" s="2" t="s">
        <v>2837</v>
      </c>
      <c r="K376" s="2" t="s">
        <v>1723</v>
      </c>
      <c r="L376" s="2" t="s">
        <v>1724</v>
      </c>
      <c r="M376" s="29">
        <v>7560</v>
      </c>
      <c r="N376" s="29">
        <v>7630</v>
      </c>
      <c r="O376" s="29">
        <v>7560</v>
      </c>
      <c r="P376" s="29">
        <v>7605</v>
      </c>
      <c r="Q376" s="29">
        <v>45</v>
      </c>
      <c r="R376" s="35">
        <v>0.6</v>
      </c>
      <c r="S376" s="29">
        <v>6.9699999999999996E-3</v>
      </c>
      <c r="T376" s="29">
        <v>0.53052770000000005</v>
      </c>
      <c r="U376" s="29">
        <v>486.72</v>
      </c>
    </row>
    <row r="377" spans="7:21">
      <c r="G377" s="32">
        <v>20231215</v>
      </c>
      <c r="H377" s="32" t="s">
        <v>2838</v>
      </c>
      <c r="I377" s="33" t="s">
        <v>2839</v>
      </c>
      <c r="J377" s="2" t="s">
        <v>2840</v>
      </c>
      <c r="K377" s="2" t="s">
        <v>1723</v>
      </c>
      <c r="L377" s="2" t="s">
        <v>1724</v>
      </c>
      <c r="M377" s="29">
        <v>6510</v>
      </c>
      <c r="N377" s="29">
        <v>6510</v>
      </c>
      <c r="O377" s="29">
        <v>6375</v>
      </c>
      <c r="P377" s="29">
        <v>6385</v>
      </c>
      <c r="Q377" s="29">
        <v>-120</v>
      </c>
      <c r="R377" s="35">
        <v>-1.84</v>
      </c>
      <c r="S377" s="29">
        <v>6.9569999999999996E-3</v>
      </c>
      <c r="T377" s="29">
        <v>0.44750105000000001</v>
      </c>
      <c r="U377" s="29">
        <v>418.85599999999999</v>
      </c>
    </row>
    <row r="378" spans="7:21">
      <c r="G378" s="32">
        <v>20231215</v>
      </c>
      <c r="H378" s="32" t="s">
        <v>2841</v>
      </c>
      <c r="I378" s="33" t="s">
        <v>2842</v>
      </c>
      <c r="J378" s="2" t="s">
        <v>2843</v>
      </c>
      <c r="K378" s="2" t="s">
        <v>1723</v>
      </c>
      <c r="L378" s="2" t="s">
        <v>1724</v>
      </c>
      <c r="M378" s="29">
        <v>10640</v>
      </c>
      <c r="N378" s="29">
        <v>10745</v>
      </c>
      <c r="O378" s="29">
        <v>10640</v>
      </c>
      <c r="P378" s="29">
        <v>10685</v>
      </c>
      <c r="Q378" s="29">
        <v>35</v>
      </c>
      <c r="R378" s="35">
        <v>0.33</v>
      </c>
      <c r="S378" s="29">
        <v>6.9210000000000001E-3</v>
      </c>
      <c r="T378" s="29">
        <v>0.73921179999999997</v>
      </c>
      <c r="U378" s="29">
        <v>85.48</v>
      </c>
    </row>
    <row r="379" spans="7:21">
      <c r="G379" s="32">
        <v>20231215</v>
      </c>
      <c r="H379" s="32" t="s">
        <v>2844</v>
      </c>
      <c r="I379" s="33" t="s">
        <v>2845</v>
      </c>
      <c r="J379" s="2" t="s">
        <v>2846</v>
      </c>
      <c r="K379" s="2" t="s">
        <v>1723</v>
      </c>
      <c r="L379" s="2" t="s">
        <v>1724</v>
      </c>
      <c r="M379" s="29">
        <v>106475</v>
      </c>
      <c r="N379" s="29">
        <v>106480</v>
      </c>
      <c r="O379" s="29">
        <v>105670</v>
      </c>
      <c r="P379" s="29">
        <v>105670</v>
      </c>
      <c r="Q379" s="29">
        <v>-805</v>
      </c>
      <c r="R379" s="35">
        <v>-0.76</v>
      </c>
      <c r="S379" s="29">
        <v>6.875E-3</v>
      </c>
      <c r="T379" s="29">
        <v>7.2918431999999997</v>
      </c>
      <c r="U379" s="29">
        <v>2889.0178000000001</v>
      </c>
    </row>
    <row r="380" spans="7:21">
      <c r="G380" s="32">
        <v>20231215</v>
      </c>
      <c r="H380" s="32" t="s">
        <v>2847</v>
      </c>
      <c r="I380" s="33" t="s">
        <v>2848</v>
      </c>
      <c r="J380" s="2" t="s">
        <v>2849</v>
      </c>
      <c r="K380" s="2" t="s">
        <v>1723</v>
      </c>
      <c r="L380" s="2" t="s">
        <v>1724</v>
      </c>
      <c r="M380" s="29">
        <v>10545</v>
      </c>
      <c r="N380" s="29">
        <v>10545</v>
      </c>
      <c r="O380" s="29">
        <v>10485</v>
      </c>
      <c r="P380" s="29">
        <v>10520</v>
      </c>
      <c r="Q380" s="29">
        <v>0</v>
      </c>
      <c r="R380" s="35">
        <v>0</v>
      </c>
      <c r="S380" s="29">
        <v>6.7520000000000002E-3</v>
      </c>
      <c r="T380" s="29">
        <v>0.61491994999999999</v>
      </c>
      <c r="U380" s="29">
        <v>63.12</v>
      </c>
    </row>
    <row r="381" spans="7:21">
      <c r="G381" s="32">
        <v>20231215</v>
      </c>
      <c r="H381" s="32" t="s">
        <v>2850</v>
      </c>
      <c r="I381" s="33" t="s">
        <v>2851</v>
      </c>
      <c r="J381" s="2" t="s">
        <v>2852</v>
      </c>
      <c r="K381" s="2" t="s">
        <v>1723</v>
      </c>
      <c r="L381" s="2" t="s">
        <v>1724</v>
      </c>
      <c r="M381" s="29">
        <v>12825</v>
      </c>
      <c r="N381" s="29">
        <v>12930</v>
      </c>
      <c r="O381" s="29">
        <v>12820</v>
      </c>
      <c r="P381" s="29">
        <v>12880</v>
      </c>
      <c r="Q381" s="29">
        <v>125</v>
      </c>
      <c r="R381" s="35">
        <v>0.98</v>
      </c>
      <c r="S381" s="29">
        <v>6.7340000000000004E-3</v>
      </c>
      <c r="T381" s="29">
        <v>0.86609254999999996</v>
      </c>
      <c r="U381" s="29">
        <v>1159.2</v>
      </c>
    </row>
    <row r="382" spans="7:21">
      <c r="G382" s="32">
        <v>20231215</v>
      </c>
      <c r="H382" s="32" t="s">
        <v>2853</v>
      </c>
      <c r="I382" s="33" t="s">
        <v>2854</v>
      </c>
      <c r="J382" s="2" t="s">
        <v>2855</v>
      </c>
      <c r="K382" s="2" t="s">
        <v>1723</v>
      </c>
      <c r="L382" s="2" t="s">
        <v>1724</v>
      </c>
      <c r="M382" s="29">
        <v>9805</v>
      </c>
      <c r="N382" s="29">
        <v>9965</v>
      </c>
      <c r="O382" s="29">
        <v>9790</v>
      </c>
      <c r="P382" s="29">
        <v>9965</v>
      </c>
      <c r="Q382" s="29">
        <v>215</v>
      </c>
      <c r="R382" s="35">
        <v>2.21</v>
      </c>
      <c r="S382" s="29">
        <v>6.7019999999999996E-3</v>
      </c>
      <c r="T382" s="29">
        <v>0.66501600000000005</v>
      </c>
      <c r="U382" s="29">
        <v>89.685000000000002</v>
      </c>
    </row>
    <row r="383" spans="7:21">
      <c r="G383" s="32">
        <v>20231215</v>
      </c>
      <c r="H383" s="32" t="s">
        <v>2856</v>
      </c>
      <c r="I383" s="33" t="s">
        <v>2857</v>
      </c>
      <c r="J383" s="2" t="s">
        <v>2858</v>
      </c>
      <c r="K383" s="2" t="s">
        <v>1723</v>
      </c>
      <c r="L383" s="2" t="s">
        <v>1724</v>
      </c>
      <c r="M383" s="29">
        <v>17000</v>
      </c>
      <c r="N383" s="29">
        <v>17020</v>
      </c>
      <c r="O383" s="29">
        <v>16925</v>
      </c>
      <c r="P383" s="29">
        <v>16995</v>
      </c>
      <c r="Q383" s="29">
        <v>5</v>
      </c>
      <c r="R383" s="35">
        <v>0.03</v>
      </c>
      <c r="S383" s="29">
        <v>6.6800000000000002E-3</v>
      </c>
      <c r="T383" s="29">
        <v>1.1347126999999999</v>
      </c>
      <c r="U383" s="29">
        <v>84.974999999999994</v>
      </c>
    </row>
    <row r="384" spans="7:21">
      <c r="G384" s="32">
        <v>20231215</v>
      </c>
      <c r="H384" s="32" t="s">
        <v>2859</v>
      </c>
      <c r="I384" s="33" t="s">
        <v>2860</v>
      </c>
      <c r="J384" s="2" t="s">
        <v>2861</v>
      </c>
      <c r="K384" s="2" t="s">
        <v>1723</v>
      </c>
      <c r="L384" s="2" t="s">
        <v>1724</v>
      </c>
      <c r="M384" s="29">
        <v>12150</v>
      </c>
      <c r="N384" s="29">
        <v>12190</v>
      </c>
      <c r="O384" s="29">
        <v>12150</v>
      </c>
      <c r="P384" s="29">
        <v>12185</v>
      </c>
      <c r="Q384" s="29">
        <v>50</v>
      </c>
      <c r="R384" s="35">
        <v>0.41</v>
      </c>
      <c r="S384" s="29">
        <v>6.6649999999999999E-3</v>
      </c>
      <c r="T384" s="29">
        <v>0.81119525000000003</v>
      </c>
      <c r="U384" s="29">
        <v>219.33</v>
      </c>
    </row>
    <row r="385" spans="7:21">
      <c r="G385" s="32">
        <v>20231215</v>
      </c>
      <c r="H385" s="32" t="s">
        <v>2862</v>
      </c>
      <c r="I385" s="33" t="s">
        <v>2863</v>
      </c>
      <c r="J385" s="2" t="s">
        <v>2864</v>
      </c>
      <c r="K385" s="2" t="s">
        <v>1723</v>
      </c>
      <c r="L385" s="2" t="s">
        <v>1724</v>
      </c>
      <c r="M385" s="29">
        <v>7985</v>
      </c>
      <c r="N385" s="29">
        <v>8145</v>
      </c>
      <c r="O385" s="29">
        <v>7980</v>
      </c>
      <c r="P385" s="29">
        <v>8030</v>
      </c>
      <c r="Q385" s="29">
        <v>195</v>
      </c>
      <c r="R385" s="35">
        <v>2.4900000000000002</v>
      </c>
      <c r="S385" s="29">
        <v>6.6369999999999997E-3</v>
      </c>
      <c r="T385" s="29">
        <v>0.53438194999999999</v>
      </c>
      <c r="U385" s="29">
        <v>48.18</v>
      </c>
    </row>
    <row r="386" spans="7:21">
      <c r="G386" s="32">
        <v>20231215</v>
      </c>
      <c r="H386" s="32" t="s">
        <v>2865</v>
      </c>
      <c r="I386" s="33" t="s">
        <v>2866</v>
      </c>
      <c r="J386" s="2" t="s">
        <v>2867</v>
      </c>
      <c r="K386" s="2" t="s">
        <v>1723</v>
      </c>
      <c r="L386" s="2" t="s">
        <v>1724</v>
      </c>
      <c r="M386" s="29">
        <v>53040</v>
      </c>
      <c r="N386" s="29">
        <v>53060</v>
      </c>
      <c r="O386" s="29">
        <v>53040</v>
      </c>
      <c r="P386" s="29">
        <v>53055</v>
      </c>
      <c r="Q386" s="29">
        <v>20</v>
      </c>
      <c r="R386" s="35">
        <v>0.04</v>
      </c>
      <c r="S386" s="29">
        <v>6.5900000000000004E-3</v>
      </c>
      <c r="T386" s="29">
        <v>3.4960601499999999</v>
      </c>
      <c r="U386" s="29">
        <v>6059.9421000000002</v>
      </c>
    </row>
    <row r="387" spans="7:21">
      <c r="G387" s="32">
        <v>20231215</v>
      </c>
      <c r="H387" s="32" t="s">
        <v>2868</v>
      </c>
      <c r="I387" s="33" t="s">
        <v>2869</v>
      </c>
      <c r="J387" s="2" t="s">
        <v>2870</v>
      </c>
      <c r="K387" s="2" t="s">
        <v>1723</v>
      </c>
      <c r="L387" s="2" t="s">
        <v>1724</v>
      </c>
      <c r="M387" s="29">
        <v>10400</v>
      </c>
      <c r="N387" s="29">
        <v>10520</v>
      </c>
      <c r="O387" s="29">
        <v>10180</v>
      </c>
      <c r="P387" s="29">
        <v>10305</v>
      </c>
      <c r="Q387" s="29">
        <v>45</v>
      </c>
      <c r="R387" s="35">
        <v>0.44</v>
      </c>
      <c r="S387" s="29">
        <v>6.5719999999999997E-3</v>
      </c>
      <c r="T387" s="29">
        <v>0.67978300000000003</v>
      </c>
      <c r="U387" s="29">
        <v>26.792999999999999</v>
      </c>
    </row>
    <row r="388" spans="7:21">
      <c r="G388" s="32">
        <v>20231215</v>
      </c>
      <c r="H388" s="32" t="s">
        <v>2871</v>
      </c>
      <c r="I388" s="33" t="s">
        <v>2872</v>
      </c>
      <c r="J388" s="2" t="s">
        <v>2873</v>
      </c>
      <c r="K388" s="2" t="s">
        <v>1723</v>
      </c>
      <c r="L388" s="2" t="s">
        <v>1724</v>
      </c>
      <c r="M388" s="29">
        <v>18515</v>
      </c>
      <c r="N388" s="29">
        <v>18675</v>
      </c>
      <c r="O388" s="29">
        <v>18430</v>
      </c>
      <c r="P388" s="29">
        <v>18525</v>
      </c>
      <c r="Q388" s="29">
        <v>120</v>
      </c>
      <c r="R388" s="35">
        <v>0.65</v>
      </c>
      <c r="S388" s="29">
        <v>6.5490000000000001E-3</v>
      </c>
      <c r="T388" s="29">
        <v>1.2152197499999999</v>
      </c>
      <c r="U388" s="29">
        <v>351.97500000000002</v>
      </c>
    </row>
    <row r="389" spans="7:21">
      <c r="G389" s="32">
        <v>20231215</v>
      </c>
      <c r="H389" s="32" t="s">
        <v>2874</v>
      </c>
      <c r="I389" s="33" t="s">
        <v>2875</v>
      </c>
      <c r="J389" s="2" t="s">
        <v>2876</v>
      </c>
      <c r="K389" s="2" t="s">
        <v>1723</v>
      </c>
      <c r="L389" s="2" t="s">
        <v>1724</v>
      </c>
      <c r="M389" s="29">
        <v>28715</v>
      </c>
      <c r="N389" s="29">
        <v>28960</v>
      </c>
      <c r="O389" s="29">
        <v>28715</v>
      </c>
      <c r="P389" s="29">
        <v>28910</v>
      </c>
      <c r="Q389" s="29">
        <v>205</v>
      </c>
      <c r="R389" s="35">
        <v>0.71</v>
      </c>
      <c r="S389" s="29">
        <v>6.5050000000000004E-3</v>
      </c>
      <c r="T389" s="29">
        <v>1.8769313999999999</v>
      </c>
      <c r="U389" s="29">
        <v>274.64499999999998</v>
      </c>
    </row>
    <row r="390" spans="7:21">
      <c r="G390" s="32">
        <v>20231215</v>
      </c>
      <c r="H390" s="32" t="s">
        <v>2877</v>
      </c>
      <c r="I390" s="33" t="s">
        <v>2878</v>
      </c>
      <c r="J390" s="2" t="s">
        <v>2879</v>
      </c>
      <c r="K390" s="2" t="s">
        <v>1723</v>
      </c>
      <c r="L390" s="2" t="s">
        <v>1724</v>
      </c>
      <c r="M390" s="29">
        <v>11735</v>
      </c>
      <c r="N390" s="29">
        <v>11795</v>
      </c>
      <c r="O390" s="29">
        <v>11580</v>
      </c>
      <c r="P390" s="29">
        <v>11650</v>
      </c>
      <c r="Q390" s="29">
        <v>-85</v>
      </c>
      <c r="R390" s="35">
        <v>-0.72</v>
      </c>
      <c r="S390" s="29">
        <v>6.4000000000000003E-3</v>
      </c>
      <c r="T390" s="29">
        <v>0.74894205000000003</v>
      </c>
      <c r="U390" s="29">
        <v>64.075000000000003</v>
      </c>
    </row>
    <row r="391" spans="7:21">
      <c r="G391" s="32">
        <v>20231215</v>
      </c>
      <c r="H391" s="32" t="s">
        <v>2880</v>
      </c>
      <c r="I391" s="33" t="s">
        <v>2881</v>
      </c>
      <c r="J391" s="2" t="s">
        <v>2882</v>
      </c>
      <c r="K391" s="2" t="s">
        <v>1723</v>
      </c>
      <c r="L391" s="2" t="s">
        <v>1724</v>
      </c>
      <c r="M391" s="29">
        <v>15230</v>
      </c>
      <c r="N391" s="29">
        <v>15330</v>
      </c>
      <c r="O391" s="29">
        <v>15180</v>
      </c>
      <c r="P391" s="29">
        <v>15205</v>
      </c>
      <c r="Q391" s="29">
        <v>405</v>
      </c>
      <c r="R391" s="35">
        <v>2.74</v>
      </c>
      <c r="S391" s="29">
        <v>6.3850000000000001E-3</v>
      </c>
      <c r="T391" s="29">
        <v>0.97176090000000004</v>
      </c>
      <c r="U391" s="29">
        <v>136.845</v>
      </c>
    </row>
    <row r="392" spans="7:21">
      <c r="G392" s="32">
        <v>20231215</v>
      </c>
      <c r="H392" s="32" t="s">
        <v>2883</v>
      </c>
      <c r="I392" s="33" t="s">
        <v>2884</v>
      </c>
      <c r="J392" s="2" t="s">
        <v>2885</v>
      </c>
      <c r="K392" s="2" t="s">
        <v>1723</v>
      </c>
      <c r="L392" s="2" t="s">
        <v>1724</v>
      </c>
      <c r="M392" s="29">
        <v>10620</v>
      </c>
      <c r="N392" s="29">
        <v>10755</v>
      </c>
      <c r="O392" s="29">
        <v>10620</v>
      </c>
      <c r="P392" s="29">
        <v>10705</v>
      </c>
      <c r="Q392" s="29">
        <v>205</v>
      </c>
      <c r="R392" s="35">
        <v>1.95</v>
      </c>
      <c r="S392" s="29">
        <v>6.2810000000000001E-3</v>
      </c>
      <c r="T392" s="29">
        <v>0.67250980000000005</v>
      </c>
      <c r="U392" s="29">
        <v>101.69750000000001</v>
      </c>
    </row>
    <row r="393" spans="7:21">
      <c r="G393" s="32">
        <v>20231215</v>
      </c>
      <c r="H393" s="32" t="s">
        <v>2886</v>
      </c>
      <c r="I393" s="33" t="s">
        <v>2887</v>
      </c>
      <c r="J393" s="2" t="s">
        <v>2888</v>
      </c>
      <c r="K393" s="2" t="s">
        <v>1723</v>
      </c>
      <c r="L393" s="2" t="s">
        <v>1724</v>
      </c>
      <c r="M393" s="29">
        <v>10310</v>
      </c>
      <c r="N393" s="29">
        <v>10310</v>
      </c>
      <c r="O393" s="29">
        <v>10285</v>
      </c>
      <c r="P393" s="29">
        <v>10285</v>
      </c>
      <c r="Q393" s="29">
        <v>-20</v>
      </c>
      <c r="R393" s="35">
        <v>-0.19</v>
      </c>
      <c r="S393" s="29">
        <v>6.1679999999999999E-3</v>
      </c>
      <c r="T393" s="29">
        <v>0.63534835000000001</v>
      </c>
      <c r="U393" s="29">
        <v>102.85</v>
      </c>
    </row>
    <row r="394" spans="7:21">
      <c r="G394" s="32">
        <v>20231215</v>
      </c>
      <c r="H394" s="32" t="s">
        <v>2889</v>
      </c>
      <c r="I394" s="33" t="s">
        <v>2890</v>
      </c>
      <c r="J394" s="2" t="s">
        <v>2891</v>
      </c>
      <c r="K394" s="2" t="s">
        <v>1723</v>
      </c>
      <c r="L394" s="2" t="s">
        <v>1724</v>
      </c>
      <c r="M394" s="29">
        <v>9280</v>
      </c>
      <c r="N394" s="29">
        <v>9415</v>
      </c>
      <c r="O394" s="29">
        <v>9280</v>
      </c>
      <c r="P394" s="29">
        <v>9385</v>
      </c>
      <c r="Q394" s="29">
        <v>140</v>
      </c>
      <c r="R394" s="35">
        <v>1.51</v>
      </c>
      <c r="S394" s="29">
        <v>6.0530000000000002E-3</v>
      </c>
      <c r="T394" s="29">
        <v>0.56776329999999997</v>
      </c>
      <c r="U394" s="29">
        <v>267.47250000000003</v>
      </c>
    </row>
    <row r="395" spans="7:21">
      <c r="G395" s="32">
        <v>20231215</v>
      </c>
      <c r="H395" s="32" t="s">
        <v>2892</v>
      </c>
      <c r="I395" s="33" t="s">
        <v>2893</v>
      </c>
      <c r="J395" s="2" t="s">
        <v>2894</v>
      </c>
      <c r="K395" s="2" t="s">
        <v>1723</v>
      </c>
      <c r="L395" s="2" t="s">
        <v>1724</v>
      </c>
      <c r="M395" s="29">
        <v>6065</v>
      </c>
      <c r="N395" s="29">
        <v>6080</v>
      </c>
      <c r="O395" s="29">
        <v>5960</v>
      </c>
      <c r="P395" s="29">
        <v>5960</v>
      </c>
      <c r="Q395" s="29">
        <v>-35</v>
      </c>
      <c r="R395" s="35">
        <v>-0.57999999999999996</v>
      </c>
      <c r="S395" s="29">
        <v>5.9839999999999997E-3</v>
      </c>
      <c r="T395" s="29">
        <v>0.3576993</v>
      </c>
      <c r="U395" s="29">
        <v>13.112</v>
      </c>
    </row>
    <row r="396" spans="7:21">
      <c r="G396" s="32">
        <v>20231215</v>
      </c>
      <c r="H396" s="32" t="s">
        <v>2895</v>
      </c>
      <c r="I396" s="33" t="s">
        <v>2896</v>
      </c>
      <c r="J396" s="2" t="s">
        <v>2897</v>
      </c>
      <c r="K396" s="2" t="s">
        <v>1723</v>
      </c>
      <c r="L396" s="2" t="s">
        <v>1724</v>
      </c>
      <c r="M396" s="29">
        <v>52855</v>
      </c>
      <c r="N396" s="29">
        <v>52855</v>
      </c>
      <c r="O396" s="29">
        <v>52785</v>
      </c>
      <c r="P396" s="29">
        <v>52800</v>
      </c>
      <c r="Q396" s="29">
        <v>15</v>
      </c>
      <c r="R396" s="35">
        <v>0.03</v>
      </c>
      <c r="S396" s="29">
        <v>5.9769999999999997E-3</v>
      </c>
      <c r="T396" s="29">
        <v>3.1558166499999998</v>
      </c>
      <c r="U396" s="29">
        <v>1412.9280000000001</v>
      </c>
    </row>
    <row r="397" spans="7:21">
      <c r="G397" s="32">
        <v>20231215</v>
      </c>
      <c r="H397" s="32" t="s">
        <v>2898</v>
      </c>
      <c r="I397" s="33" t="s">
        <v>2899</v>
      </c>
      <c r="J397" s="2" t="s">
        <v>2900</v>
      </c>
      <c r="K397" s="2" t="s">
        <v>1723</v>
      </c>
      <c r="L397" s="2" t="s">
        <v>1724</v>
      </c>
      <c r="M397" s="29">
        <v>10630</v>
      </c>
      <c r="N397" s="29">
        <v>10685</v>
      </c>
      <c r="O397" s="29">
        <v>10560</v>
      </c>
      <c r="P397" s="29">
        <v>10650</v>
      </c>
      <c r="Q397" s="29">
        <v>15</v>
      </c>
      <c r="R397" s="35">
        <v>0.14000000000000001</v>
      </c>
      <c r="S397" s="29">
        <v>5.901E-3</v>
      </c>
      <c r="T397" s="29">
        <v>0.62478124999999995</v>
      </c>
      <c r="U397" s="29">
        <v>95.85</v>
      </c>
    </row>
    <row r="398" spans="7:21">
      <c r="G398" s="32">
        <v>20231215</v>
      </c>
      <c r="H398" s="32" t="s">
        <v>2901</v>
      </c>
      <c r="I398" s="33" t="s">
        <v>2902</v>
      </c>
      <c r="J398" s="2" t="s">
        <v>2903</v>
      </c>
      <c r="K398" s="2" t="s">
        <v>1723</v>
      </c>
      <c r="L398" s="2" t="s">
        <v>1724</v>
      </c>
      <c r="M398" s="29">
        <v>5200</v>
      </c>
      <c r="N398" s="29">
        <v>5365</v>
      </c>
      <c r="O398" s="29">
        <v>5185</v>
      </c>
      <c r="P398" s="29">
        <v>5295</v>
      </c>
      <c r="Q398" s="29">
        <v>110</v>
      </c>
      <c r="R398" s="35">
        <v>2.12</v>
      </c>
      <c r="S398" s="29">
        <v>5.8500000000000002E-3</v>
      </c>
      <c r="T398" s="29">
        <v>0.30825209999999997</v>
      </c>
      <c r="U398" s="29">
        <v>42.36</v>
      </c>
    </row>
    <row r="399" spans="7:21">
      <c r="G399" s="32">
        <v>20231215</v>
      </c>
      <c r="H399" s="32" t="s">
        <v>2904</v>
      </c>
      <c r="I399" s="33" t="s">
        <v>2905</v>
      </c>
      <c r="J399" s="2" t="s">
        <v>2906</v>
      </c>
      <c r="K399" s="2" t="s">
        <v>1723</v>
      </c>
      <c r="L399" s="2" t="s">
        <v>1724</v>
      </c>
      <c r="M399" s="29">
        <v>6000</v>
      </c>
      <c r="N399" s="29">
        <v>6250</v>
      </c>
      <c r="O399" s="29">
        <v>6000</v>
      </c>
      <c r="P399" s="29">
        <v>6220</v>
      </c>
      <c r="Q399" s="29">
        <v>330</v>
      </c>
      <c r="R399" s="35">
        <v>5.6</v>
      </c>
      <c r="S399" s="29">
        <v>5.8380000000000003E-3</v>
      </c>
      <c r="T399" s="29">
        <v>0.36217345000000001</v>
      </c>
      <c r="U399" s="29">
        <v>24.88</v>
      </c>
    </row>
    <row r="400" spans="7:21">
      <c r="G400" s="32">
        <v>20231215</v>
      </c>
      <c r="H400" s="32" t="s">
        <v>2907</v>
      </c>
      <c r="I400" s="33" t="s">
        <v>2908</v>
      </c>
      <c r="J400" s="2" t="s">
        <v>2909</v>
      </c>
      <c r="K400" s="2" t="s">
        <v>1723</v>
      </c>
      <c r="L400" s="2" t="s">
        <v>1724</v>
      </c>
      <c r="M400" s="29">
        <v>9205</v>
      </c>
      <c r="N400" s="29">
        <v>9205</v>
      </c>
      <c r="O400" s="29">
        <v>9170</v>
      </c>
      <c r="P400" s="29">
        <v>9170</v>
      </c>
      <c r="Q400" s="29">
        <v>-20</v>
      </c>
      <c r="R400" s="35">
        <v>-0.22</v>
      </c>
      <c r="S400" s="29">
        <v>5.836E-3</v>
      </c>
      <c r="T400" s="29">
        <v>0.53612000000000004</v>
      </c>
      <c r="U400" s="29">
        <v>293.44</v>
      </c>
    </row>
    <row r="401" spans="7:21">
      <c r="G401" s="32">
        <v>20231215</v>
      </c>
      <c r="H401" s="32" t="s">
        <v>2910</v>
      </c>
      <c r="I401" s="33" t="s">
        <v>2911</v>
      </c>
      <c r="J401" s="2" t="s">
        <v>2912</v>
      </c>
      <c r="K401" s="2" t="s">
        <v>1723</v>
      </c>
      <c r="L401" s="2" t="s">
        <v>1724</v>
      </c>
      <c r="M401" s="29">
        <v>49755</v>
      </c>
      <c r="N401" s="29">
        <v>50070</v>
      </c>
      <c r="O401" s="29">
        <v>49755</v>
      </c>
      <c r="P401" s="29">
        <v>50030</v>
      </c>
      <c r="Q401" s="29">
        <v>15</v>
      </c>
      <c r="R401" s="35">
        <v>0.03</v>
      </c>
      <c r="S401" s="29">
        <v>5.6379999999999998E-3</v>
      </c>
      <c r="T401" s="29">
        <v>2.8148455499999998</v>
      </c>
      <c r="U401" s="29">
        <v>1948.1682000000001</v>
      </c>
    </row>
    <row r="402" spans="7:21">
      <c r="G402" s="32">
        <v>20231215</v>
      </c>
      <c r="H402" s="32" t="s">
        <v>2913</v>
      </c>
      <c r="I402" s="33" t="s">
        <v>2914</v>
      </c>
      <c r="J402" s="2" t="s">
        <v>2915</v>
      </c>
      <c r="K402" s="2" t="s">
        <v>1723</v>
      </c>
      <c r="L402" s="2" t="s">
        <v>1724</v>
      </c>
      <c r="M402" s="29">
        <v>11545</v>
      </c>
      <c r="N402" s="29">
        <v>11635</v>
      </c>
      <c r="O402" s="29">
        <v>11545</v>
      </c>
      <c r="P402" s="29">
        <v>11620</v>
      </c>
      <c r="Q402" s="29">
        <v>-5</v>
      </c>
      <c r="R402" s="35">
        <v>-0.04</v>
      </c>
      <c r="S402" s="29">
        <v>5.587E-3</v>
      </c>
      <c r="T402" s="29">
        <v>0.64815855</v>
      </c>
      <c r="U402" s="29">
        <v>63.91</v>
      </c>
    </row>
    <row r="403" spans="7:21">
      <c r="G403" s="32">
        <v>20231215</v>
      </c>
      <c r="H403" s="32" t="s">
        <v>2916</v>
      </c>
      <c r="I403" s="33" t="s">
        <v>2917</v>
      </c>
      <c r="J403" s="2" t="s">
        <v>2918</v>
      </c>
      <c r="K403" s="2" t="s">
        <v>1723</v>
      </c>
      <c r="L403" s="2" t="s">
        <v>1724</v>
      </c>
      <c r="M403" s="29">
        <v>5730</v>
      </c>
      <c r="N403" s="29">
        <v>5830</v>
      </c>
      <c r="O403" s="29">
        <v>5730</v>
      </c>
      <c r="P403" s="29">
        <v>5815</v>
      </c>
      <c r="Q403" s="29">
        <v>195</v>
      </c>
      <c r="R403" s="35">
        <v>3.47</v>
      </c>
      <c r="S403" s="29">
        <v>5.5820000000000002E-3</v>
      </c>
      <c r="T403" s="29">
        <v>0.3240516</v>
      </c>
      <c r="U403" s="29">
        <v>93.04</v>
      </c>
    </row>
    <row r="404" spans="7:21">
      <c r="G404" s="32">
        <v>20231215</v>
      </c>
      <c r="H404" s="32" t="s">
        <v>2919</v>
      </c>
      <c r="I404" s="33" t="s">
        <v>2920</v>
      </c>
      <c r="J404" s="2" t="s">
        <v>2921</v>
      </c>
      <c r="K404" s="2" t="s">
        <v>1723</v>
      </c>
      <c r="L404" s="2" t="s">
        <v>1724</v>
      </c>
      <c r="M404" s="29">
        <v>9850</v>
      </c>
      <c r="N404" s="29">
        <v>9910</v>
      </c>
      <c r="O404" s="29">
        <v>9845</v>
      </c>
      <c r="P404" s="29">
        <v>9910</v>
      </c>
      <c r="Q404" s="29">
        <v>210</v>
      </c>
      <c r="R404" s="35">
        <v>2.16</v>
      </c>
      <c r="S404" s="29">
        <v>5.5630000000000002E-3</v>
      </c>
      <c r="T404" s="29">
        <v>0.54922844999999998</v>
      </c>
      <c r="U404" s="29">
        <v>232.88499999999999</v>
      </c>
    </row>
    <row r="405" spans="7:21">
      <c r="G405" s="32">
        <v>20231215</v>
      </c>
      <c r="H405" s="32" t="s">
        <v>2922</v>
      </c>
      <c r="I405" s="33" t="s">
        <v>2923</v>
      </c>
      <c r="J405" s="2" t="s">
        <v>2924</v>
      </c>
      <c r="K405" s="2" t="s">
        <v>1723</v>
      </c>
      <c r="L405" s="2" t="s">
        <v>1724</v>
      </c>
      <c r="M405" s="29">
        <v>11195</v>
      </c>
      <c r="N405" s="29">
        <v>11205</v>
      </c>
      <c r="O405" s="29">
        <v>11145</v>
      </c>
      <c r="P405" s="29">
        <v>11145</v>
      </c>
      <c r="Q405" s="29">
        <v>-55</v>
      </c>
      <c r="R405" s="35">
        <v>-0.49</v>
      </c>
      <c r="S405" s="29">
        <v>5.5360000000000001E-3</v>
      </c>
      <c r="T405" s="29">
        <v>0.61985164999999998</v>
      </c>
      <c r="U405" s="29">
        <v>133.74</v>
      </c>
    </row>
    <row r="406" spans="7:21">
      <c r="G406" s="32">
        <v>20231215</v>
      </c>
      <c r="H406" s="32" t="s">
        <v>2925</v>
      </c>
      <c r="I406" s="33" t="s">
        <v>2926</v>
      </c>
      <c r="J406" s="2" t="s">
        <v>2927</v>
      </c>
      <c r="K406" s="2" t="s">
        <v>1723</v>
      </c>
      <c r="L406" s="2" t="s">
        <v>1724</v>
      </c>
      <c r="M406" s="29">
        <v>38750</v>
      </c>
      <c r="N406" s="29">
        <v>38750</v>
      </c>
      <c r="O406" s="29">
        <v>38435</v>
      </c>
      <c r="P406" s="29">
        <v>38435</v>
      </c>
      <c r="Q406" s="29">
        <v>-95</v>
      </c>
      <c r="R406" s="35">
        <v>-0.25</v>
      </c>
      <c r="S406" s="29">
        <v>5.5300000000000002E-3</v>
      </c>
      <c r="T406" s="29">
        <v>2.1263302500000001</v>
      </c>
      <c r="U406" s="29">
        <v>86.863100000000003</v>
      </c>
    </row>
    <row r="407" spans="7:21">
      <c r="G407" s="32">
        <v>20231215</v>
      </c>
      <c r="H407" s="32" t="s">
        <v>2928</v>
      </c>
      <c r="I407" s="33" t="s">
        <v>2929</v>
      </c>
      <c r="J407" s="2" t="s">
        <v>2930</v>
      </c>
      <c r="K407" s="2" t="s">
        <v>1723</v>
      </c>
      <c r="L407" s="2" t="s">
        <v>1724</v>
      </c>
      <c r="M407" s="29">
        <v>9765</v>
      </c>
      <c r="N407" s="29">
        <v>9815</v>
      </c>
      <c r="O407" s="29">
        <v>9760</v>
      </c>
      <c r="P407" s="29">
        <v>9815</v>
      </c>
      <c r="Q407" s="29">
        <v>50</v>
      </c>
      <c r="R407" s="35">
        <v>0.51</v>
      </c>
      <c r="S407" s="29">
        <v>5.4460000000000003E-3</v>
      </c>
      <c r="T407" s="29">
        <v>0.53235164999999995</v>
      </c>
      <c r="U407" s="29">
        <v>269.91250000000002</v>
      </c>
    </row>
    <row r="408" spans="7:21">
      <c r="G408" s="32">
        <v>20231215</v>
      </c>
      <c r="H408" s="32" t="s">
        <v>2931</v>
      </c>
      <c r="I408" s="33" t="s">
        <v>2932</v>
      </c>
      <c r="J408" s="2" t="s">
        <v>2933</v>
      </c>
      <c r="K408" s="2" t="s">
        <v>1723</v>
      </c>
      <c r="L408" s="2" t="s">
        <v>1724</v>
      </c>
      <c r="M408" s="29">
        <v>24140</v>
      </c>
      <c r="N408" s="29">
        <v>24195</v>
      </c>
      <c r="O408" s="29">
        <v>23975</v>
      </c>
      <c r="P408" s="29">
        <v>24020</v>
      </c>
      <c r="Q408" s="29">
        <v>225</v>
      </c>
      <c r="R408" s="35">
        <v>0.95</v>
      </c>
      <c r="S408" s="29">
        <v>5.365E-3</v>
      </c>
      <c r="T408" s="29">
        <v>1.2920716000000001</v>
      </c>
      <c r="U408" s="29">
        <v>121.5412</v>
      </c>
    </row>
    <row r="409" spans="7:21">
      <c r="G409" s="32">
        <v>20231215</v>
      </c>
      <c r="H409" s="32" t="s">
        <v>2934</v>
      </c>
      <c r="I409" s="33" t="s">
        <v>2935</v>
      </c>
      <c r="J409" s="2" t="s">
        <v>2936</v>
      </c>
      <c r="K409" s="2" t="s">
        <v>1723</v>
      </c>
      <c r="L409" s="2" t="s">
        <v>1724</v>
      </c>
      <c r="M409" s="29">
        <v>10015</v>
      </c>
      <c r="N409" s="29">
        <v>10070</v>
      </c>
      <c r="O409" s="29">
        <v>10000</v>
      </c>
      <c r="P409" s="29">
        <v>10065</v>
      </c>
      <c r="Q409" s="29">
        <v>165</v>
      </c>
      <c r="R409" s="35">
        <v>1.67</v>
      </c>
      <c r="S409" s="29">
        <v>5.3220000000000003E-3</v>
      </c>
      <c r="T409" s="29">
        <v>0.53340995000000002</v>
      </c>
      <c r="U409" s="29">
        <v>110.715</v>
      </c>
    </row>
    <row r="410" spans="7:21">
      <c r="G410" s="32">
        <v>20231215</v>
      </c>
      <c r="H410" s="32" t="s">
        <v>2937</v>
      </c>
      <c r="I410" s="33" t="s">
        <v>2938</v>
      </c>
      <c r="J410" s="2" t="s">
        <v>2939</v>
      </c>
      <c r="K410" s="2" t="s">
        <v>1723</v>
      </c>
      <c r="L410" s="2" t="s">
        <v>1724</v>
      </c>
      <c r="M410" s="29">
        <v>14605</v>
      </c>
      <c r="N410" s="29">
        <v>14645</v>
      </c>
      <c r="O410" s="29">
        <v>14485</v>
      </c>
      <c r="P410" s="29">
        <v>14495</v>
      </c>
      <c r="Q410" s="29">
        <v>-5</v>
      </c>
      <c r="R410" s="35">
        <v>-0.03</v>
      </c>
      <c r="S410" s="29">
        <v>5.2940000000000001E-3</v>
      </c>
      <c r="T410" s="29">
        <v>0.69049554999999996</v>
      </c>
      <c r="U410" s="29">
        <v>521.82000000000005</v>
      </c>
    </row>
    <row r="411" spans="7:21">
      <c r="G411" s="32">
        <v>20231215</v>
      </c>
      <c r="H411" s="32" t="s">
        <v>2940</v>
      </c>
      <c r="I411" s="33" t="s">
        <v>2941</v>
      </c>
      <c r="J411" s="2" t="s">
        <v>2942</v>
      </c>
      <c r="K411" s="2" t="s">
        <v>1723</v>
      </c>
      <c r="L411" s="2" t="s">
        <v>1724</v>
      </c>
      <c r="M411" s="29">
        <v>65835</v>
      </c>
      <c r="N411" s="29">
        <v>65910</v>
      </c>
      <c r="O411" s="29">
        <v>65685</v>
      </c>
      <c r="P411" s="29">
        <v>65770</v>
      </c>
      <c r="Q411" s="29">
        <v>-80</v>
      </c>
      <c r="R411" s="35">
        <v>-0.12</v>
      </c>
      <c r="S411" s="29">
        <v>5.287E-3</v>
      </c>
      <c r="T411" s="29">
        <v>3.4769822499999998</v>
      </c>
      <c r="U411" s="29">
        <v>749.77800000000002</v>
      </c>
    </row>
    <row r="412" spans="7:21">
      <c r="G412" s="32">
        <v>20231215</v>
      </c>
      <c r="H412" s="32" t="s">
        <v>2943</v>
      </c>
      <c r="I412" s="33" t="s">
        <v>2944</v>
      </c>
      <c r="J412" s="2" t="s">
        <v>2945</v>
      </c>
      <c r="K412" s="2" t="s">
        <v>1723</v>
      </c>
      <c r="L412" s="2" t="s">
        <v>1724</v>
      </c>
      <c r="M412" s="29">
        <v>31585</v>
      </c>
      <c r="N412" s="29">
        <v>32035</v>
      </c>
      <c r="O412" s="29">
        <v>31400</v>
      </c>
      <c r="P412" s="29">
        <v>32035</v>
      </c>
      <c r="Q412" s="29">
        <v>475</v>
      </c>
      <c r="R412" s="35">
        <v>1.51</v>
      </c>
      <c r="S412" s="29">
        <v>5.2690000000000002E-3</v>
      </c>
      <c r="T412" s="29">
        <v>1.6656003500000001</v>
      </c>
      <c r="U412" s="29">
        <v>326.75700000000001</v>
      </c>
    </row>
    <row r="413" spans="7:21">
      <c r="G413" s="32">
        <v>20231215</v>
      </c>
      <c r="H413" s="32" t="s">
        <v>2946</v>
      </c>
      <c r="I413" s="33" t="s">
        <v>2947</v>
      </c>
      <c r="J413" s="2" t="s">
        <v>2948</v>
      </c>
      <c r="K413" s="2" t="s">
        <v>1723</v>
      </c>
      <c r="L413" s="2" t="s">
        <v>1724</v>
      </c>
      <c r="M413" s="29">
        <v>13105</v>
      </c>
      <c r="N413" s="29">
        <v>13205</v>
      </c>
      <c r="O413" s="29">
        <v>13105</v>
      </c>
      <c r="P413" s="29">
        <v>13180</v>
      </c>
      <c r="Q413" s="29">
        <v>75</v>
      </c>
      <c r="R413" s="35">
        <v>0.56999999999999995</v>
      </c>
      <c r="S413" s="29">
        <v>5.2680000000000001E-3</v>
      </c>
      <c r="T413" s="29">
        <v>0.69291519999999995</v>
      </c>
      <c r="U413" s="29">
        <v>46.13</v>
      </c>
    </row>
    <row r="414" spans="7:21">
      <c r="G414" s="32">
        <v>20231215</v>
      </c>
      <c r="H414" s="32" t="s">
        <v>2949</v>
      </c>
      <c r="I414" s="33" t="s">
        <v>2950</v>
      </c>
      <c r="J414" s="2" t="s">
        <v>2951</v>
      </c>
      <c r="K414" s="2" t="s">
        <v>1723</v>
      </c>
      <c r="L414" s="2" t="s">
        <v>1724</v>
      </c>
      <c r="M414" s="29">
        <v>19160</v>
      </c>
      <c r="N414" s="29">
        <v>19330</v>
      </c>
      <c r="O414" s="29">
        <v>19160</v>
      </c>
      <c r="P414" s="29">
        <v>19160</v>
      </c>
      <c r="Q414" s="29">
        <v>135</v>
      </c>
      <c r="R414" s="35">
        <v>0.71</v>
      </c>
      <c r="S414" s="29">
        <v>5.2480000000000001E-3</v>
      </c>
      <c r="T414" s="29">
        <v>1.0126257999999999</v>
      </c>
      <c r="U414" s="29">
        <v>210.76</v>
      </c>
    </row>
    <row r="415" spans="7:21">
      <c r="G415" s="32">
        <v>20231215</v>
      </c>
      <c r="H415" s="32" t="s">
        <v>2952</v>
      </c>
      <c r="I415" s="33" t="s">
        <v>2953</v>
      </c>
      <c r="J415" s="2" t="s">
        <v>2954</v>
      </c>
      <c r="K415" s="2" t="s">
        <v>1723</v>
      </c>
      <c r="L415" s="2" t="s">
        <v>1724</v>
      </c>
      <c r="M415" s="29">
        <v>52400</v>
      </c>
      <c r="N415" s="29">
        <v>52525</v>
      </c>
      <c r="O415" s="29">
        <v>52375</v>
      </c>
      <c r="P415" s="29">
        <v>52400</v>
      </c>
      <c r="Q415" s="29">
        <v>315</v>
      </c>
      <c r="R415" s="35">
        <v>0.6</v>
      </c>
      <c r="S415" s="29">
        <v>5.1159999999999999E-3</v>
      </c>
      <c r="T415" s="29">
        <v>2.6795732499999998</v>
      </c>
      <c r="U415" s="29">
        <v>62.88</v>
      </c>
    </row>
    <row r="416" spans="7:21">
      <c r="G416" s="32">
        <v>20231215</v>
      </c>
      <c r="H416" s="32" t="s">
        <v>2955</v>
      </c>
      <c r="I416" s="33" t="s">
        <v>2956</v>
      </c>
      <c r="J416" s="2" t="s">
        <v>2957</v>
      </c>
      <c r="K416" s="2" t="s">
        <v>1723</v>
      </c>
      <c r="L416" s="2" t="s">
        <v>1724</v>
      </c>
      <c r="M416" s="29">
        <v>12520</v>
      </c>
      <c r="N416" s="29">
        <v>12625</v>
      </c>
      <c r="O416" s="29">
        <v>12520</v>
      </c>
      <c r="P416" s="29">
        <v>12610</v>
      </c>
      <c r="Q416" s="29">
        <v>25</v>
      </c>
      <c r="R416" s="35">
        <v>0.2</v>
      </c>
      <c r="S416" s="29">
        <v>5.0879999999999996E-3</v>
      </c>
      <c r="T416" s="29">
        <v>0.63996439999999999</v>
      </c>
      <c r="U416" s="29">
        <v>75.66</v>
      </c>
    </row>
    <row r="417" spans="7:21">
      <c r="G417" s="32">
        <v>20231215</v>
      </c>
      <c r="H417" s="32" t="s">
        <v>2958</v>
      </c>
      <c r="I417" s="33" t="s">
        <v>2959</v>
      </c>
      <c r="J417" s="2" t="s">
        <v>2960</v>
      </c>
      <c r="K417" s="2" t="s">
        <v>1723</v>
      </c>
      <c r="L417" s="2" t="s">
        <v>1724</v>
      </c>
      <c r="M417" s="29">
        <v>5300</v>
      </c>
      <c r="N417" s="29">
        <v>5400</v>
      </c>
      <c r="O417" s="29">
        <v>5290</v>
      </c>
      <c r="P417" s="29">
        <v>5310</v>
      </c>
      <c r="Q417" s="29">
        <v>95</v>
      </c>
      <c r="R417" s="35">
        <v>1.82</v>
      </c>
      <c r="S417" s="29">
        <v>5.0860000000000002E-3</v>
      </c>
      <c r="T417" s="29">
        <v>0.27152615000000002</v>
      </c>
      <c r="U417" s="29">
        <v>55.755000000000003</v>
      </c>
    </row>
    <row r="418" spans="7:21">
      <c r="G418" s="32">
        <v>20231215</v>
      </c>
      <c r="H418" s="32" t="s">
        <v>2961</v>
      </c>
      <c r="I418" s="33" t="s">
        <v>2962</v>
      </c>
      <c r="J418" s="2" t="s">
        <v>2963</v>
      </c>
      <c r="K418" s="2" t="s">
        <v>1723</v>
      </c>
      <c r="L418" s="2" t="s">
        <v>1724</v>
      </c>
      <c r="M418" s="29">
        <v>9830</v>
      </c>
      <c r="N418" s="29">
        <v>9895</v>
      </c>
      <c r="O418" s="29">
        <v>9750</v>
      </c>
      <c r="P418" s="29">
        <v>9840</v>
      </c>
      <c r="Q418" s="29">
        <v>110</v>
      </c>
      <c r="R418" s="35">
        <v>1.1299999999999999</v>
      </c>
      <c r="S418" s="29">
        <v>5.0689999999999997E-3</v>
      </c>
      <c r="T418" s="29">
        <v>0.49856689999999998</v>
      </c>
      <c r="U418" s="29">
        <v>182.04</v>
      </c>
    </row>
    <row r="419" spans="7:21">
      <c r="G419" s="32">
        <v>20231215</v>
      </c>
      <c r="H419" s="32" t="s">
        <v>2964</v>
      </c>
      <c r="I419" s="33" t="s">
        <v>2965</v>
      </c>
      <c r="J419" s="2" t="s">
        <v>2966</v>
      </c>
      <c r="K419" s="2" t="s">
        <v>1723</v>
      </c>
      <c r="L419" s="2" t="s">
        <v>1724</v>
      </c>
      <c r="M419" s="29">
        <v>39400</v>
      </c>
      <c r="N419" s="29">
        <v>39865</v>
      </c>
      <c r="O419" s="29">
        <v>39165</v>
      </c>
      <c r="P419" s="29">
        <v>39385</v>
      </c>
      <c r="Q419" s="29">
        <v>700</v>
      </c>
      <c r="R419" s="35">
        <v>1.81</v>
      </c>
      <c r="S419" s="29">
        <v>5.0070000000000002E-3</v>
      </c>
      <c r="T419" s="29">
        <v>1.978891</v>
      </c>
      <c r="U419" s="29">
        <v>315.08</v>
      </c>
    </row>
    <row r="420" spans="7:21">
      <c r="G420" s="32">
        <v>20231215</v>
      </c>
      <c r="H420" s="32" t="s">
        <v>2967</v>
      </c>
      <c r="I420" s="33" t="s">
        <v>2968</v>
      </c>
      <c r="J420" s="2" t="s">
        <v>2969</v>
      </c>
      <c r="K420" s="2" t="s">
        <v>1723</v>
      </c>
      <c r="L420" s="2" t="s">
        <v>1724</v>
      </c>
      <c r="M420" s="29">
        <v>11260</v>
      </c>
      <c r="N420" s="29">
        <v>11260</v>
      </c>
      <c r="O420" s="29">
        <v>11105</v>
      </c>
      <c r="P420" s="29">
        <v>11105</v>
      </c>
      <c r="Q420" s="29">
        <v>-20</v>
      </c>
      <c r="R420" s="35">
        <v>-0.18</v>
      </c>
      <c r="S420" s="29">
        <v>4.9579999999999997E-3</v>
      </c>
      <c r="T420" s="29">
        <v>0.55239055000000004</v>
      </c>
      <c r="U420" s="29">
        <v>79.956000000000003</v>
      </c>
    </row>
    <row r="421" spans="7:21">
      <c r="G421" s="32">
        <v>20231215</v>
      </c>
      <c r="H421" s="32" t="s">
        <v>2970</v>
      </c>
      <c r="I421" s="33" t="s">
        <v>2971</v>
      </c>
      <c r="J421" s="2" t="s">
        <v>2972</v>
      </c>
      <c r="K421" s="2" t="s">
        <v>1723</v>
      </c>
      <c r="L421" s="2" t="s">
        <v>1724</v>
      </c>
      <c r="M421" s="29">
        <v>13250</v>
      </c>
      <c r="N421" s="29">
        <v>13500</v>
      </c>
      <c r="O421" s="29">
        <v>13250</v>
      </c>
      <c r="P421" s="29">
        <v>13500</v>
      </c>
      <c r="Q421" s="29">
        <v>260</v>
      </c>
      <c r="R421" s="35">
        <v>1.96</v>
      </c>
      <c r="S421" s="29">
        <v>4.9410000000000001E-3</v>
      </c>
      <c r="T421" s="29">
        <v>0.66585134999999995</v>
      </c>
      <c r="U421" s="29">
        <v>135</v>
      </c>
    </row>
    <row r="422" spans="7:21">
      <c r="G422" s="32">
        <v>20231215</v>
      </c>
      <c r="H422" s="32" t="s">
        <v>2973</v>
      </c>
      <c r="I422" s="33" t="s">
        <v>2974</v>
      </c>
      <c r="J422" s="2" t="s">
        <v>2975</v>
      </c>
      <c r="K422" s="2" t="s">
        <v>1723</v>
      </c>
      <c r="L422" s="2" t="s">
        <v>1724</v>
      </c>
      <c r="M422" s="29">
        <v>88695</v>
      </c>
      <c r="N422" s="29">
        <v>89995</v>
      </c>
      <c r="O422" s="29">
        <v>88695</v>
      </c>
      <c r="P422" s="29">
        <v>89925</v>
      </c>
      <c r="Q422" s="29">
        <v>1025</v>
      </c>
      <c r="R422" s="35">
        <v>1.1499999999999999</v>
      </c>
      <c r="S422" s="29">
        <v>4.9129999999999998E-3</v>
      </c>
      <c r="T422" s="29">
        <v>4.3994004000000002</v>
      </c>
      <c r="U422" s="29">
        <v>326.42775</v>
      </c>
    </row>
    <row r="423" spans="7:21">
      <c r="G423" s="32">
        <v>20231215</v>
      </c>
      <c r="H423" s="32" t="s">
        <v>2976</v>
      </c>
      <c r="I423" s="33" t="s">
        <v>2977</v>
      </c>
      <c r="J423" s="2" t="s">
        <v>2978</v>
      </c>
      <c r="K423" s="2" t="s">
        <v>1723</v>
      </c>
      <c r="L423" s="2" t="s">
        <v>1724</v>
      </c>
      <c r="M423" s="29">
        <v>10285</v>
      </c>
      <c r="N423" s="29">
        <v>10285</v>
      </c>
      <c r="O423" s="29">
        <v>10275</v>
      </c>
      <c r="P423" s="29">
        <v>10285</v>
      </c>
      <c r="Q423" s="29">
        <v>10</v>
      </c>
      <c r="R423" s="35">
        <v>0.1</v>
      </c>
      <c r="S423" s="29">
        <v>4.8979999999999996E-3</v>
      </c>
      <c r="T423" s="29">
        <v>0.50353535000000005</v>
      </c>
      <c r="U423" s="29">
        <v>774.46050000000002</v>
      </c>
    </row>
    <row r="424" spans="7:21">
      <c r="G424" s="32">
        <v>20231215</v>
      </c>
      <c r="H424" s="32" t="s">
        <v>2979</v>
      </c>
      <c r="I424" s="33" t="s">
        <v>2980</v>
      </c>
      <c r="J424" s="2" t="s">
        <v>2981</v>
      </c>
      <c r="K424" s="2" t="s">
        <v>1723</v>
      </c>
      <c r="L424" s="2" t="s">
        <v>1724</v>
      </c>
      <c r="M424" s="29">
        <v>10820</v>
      </c>
      <c r="N424" s="29">
        <v>10850</v>
      </c>
      <c r="O424" s="29">
        <v>10800</v>
      </c>
      <c r="P424" s="29">
        <v>10845</v>
      </c>
      <c r="Q424" s="29">
        <v>-10</v>
      </c>
      <c r="R424" s="35">
        <v>-0.09</v>
      </c>
      <c r="S424" s="29">
        <v>4.8869999999999999E-3</v>
      </c>
      <c r="T424" s="29">
        <v>0.52901215000000001</v>
      </c>
      <c r="U424" s="29">
        <v>97.605000000000004</v>
      </c>
    </row>
    <row r="425" spans="7:21">
      <c r="G425" s="32">
        <v>20231215</v>
      </c>
      <c r="H425" s="32" t="s">
        <v>2982</v>
      </c>
      <c r="I425" s="33" t="s">
        <v>2983</v>
      </c>
      <c r="J425" s="2" t="s">
        <v>2984</v>
      </c>
      <c r="K425" s="2" t="s">
        <v>1723</v>
      </c>
      <c r="L425" s="2" t="s">
        <v>1724</v>
      </c>
      <c r="M425" s="29">
        <v>13270</v>
      </c>
      <c r="N425" s="29">
        <v>13280</v>
      </c>
      <c r="O425" s="29">
        <v>13245</v>
      </c>
      <c r="P425" s="29">
        <v>13280</v>
      </c>
      <c r="Q425" s="29">
        <v>45</v>
      </c>
      <c r="R425" s="35">
        <v>0.34</v>
      </c>
      <c r="S425" s="29">
        <v>4.8469999999999997E-3</v>
      </c>
      <c r="T425" s="29">
        <v>0.64287030000000001</v>
      </c>
      <c r="U425" s="29">
        <v>239.04</v>
      </c>
    </row>
    <row r="426" spans="7:21">
      <c r="G426" s="32">
        <v>20231215</v>
      </c>
      <c r="H426" s="32" t="s">
        <v>2985</v>
      </c>
      <c r="I426" s="33" t="s">
        <v>2986</v>
      </c>
      <c r="J426" s="2" t="s">
        <v>2987</v>
      </c>
      <c r="K426" s="2" t="s">
        <v>1723</v>
      </c>
      <c r="L426" s="2" t="s">
        <v>1724</v>
      </c>
      <c r="M426" s="29">
        <v>10365</v>
      </c>
      <c r="N426" s="29">
        <v>10430</v>
      </c>
      <c r="O426" s="29">
        <v>10340</v>
      </c>
      <c r="P426" s="29">
        <v>10415</v>
      </c>
      <c r="Q426" s="29">
        <v>15</v>
      </c>
      <c r="R426" s="35">
        <v>0.14000000000000001</v>
      </c>
      <c r="S426" s="29">
        <v>4.8040000000000001E-3</v>
      </c>
      <c r="T426" s="29">
        <v>0.50070610000000004</v>
      </c>
      <c r="U426" s="29">
        <v>104.15</v>
      </c>
    </row>
    <row r="427" spans="7:21">
      <c r="G427" s="32">
        <v>20231215</v>
      </c>
      <c r="H427" s="32" t="s">
        <v>2988</v>
      </c>
      <c r="I427" s="33" t="s">
        <v>2989</v>
      </c>
      <c r="J427" s="2" t="s">
        <v>2990</v>
      </c>
      <c r="K427" s="2" t="s">
        <v>1723</v>
      </c>
      <c r="L427" s="2" t="s">
        <v>1724</v>
      </c>
      <c r="M427" s="29">
        <v>11570</v>
      </c>
      <c r="N427" s="29">
        <v>11580</v>
      </c>
      <c r="O427" s="29">
        <v>11565</v>
      </c>
      <c r="P427" s="29">
        <v>11570</v>
      </c>
      <c r="Q427" s="29">
        <v>5</v>
      </c>
      <c r="R427" s="35">
        <v>0.04</v>
      </c>
      <c r="S427" s="29">
        <v>4.6639999999999997E-3</v>
      </c>
      <c r="T427" s="29">
        <v>0.53979734999999995</v>
      </c>
      <c r="U427" s="29">
        <v>97.188000000000002</v>
      </c>
    </row>
    <row r="428" spans="7:21">
      <c r="G428" s="32">
        <v>20231215</v>
      </c>
      <c r="H428" s="32" t="s">
        <v>2991</v>
      </c>
      <c r="I428" s="33" t="s">
        <v>2992</v>
      </c>
      <c r="J428" s="2" t="s">
        <v>2993</v>
      </c>
      <c r="K428" s="2" t="s">
        <v>1723</v>
      </c>
      <c r="L428" s="2" t="s">
        <v>1724</v>
      </c>
      <c r="M428" s="29">
        <v>10915</v>
      </c>
      <c r="N428" s="29">
        <v>11080</v>
      </c>
      <c r="O428" s="29">
        <v>10905</v>
      </c>
      <c r="P428" s="29">
        <v>10945</v>
      </c>
      <c r="Q428" s="29">
        <v>65</v>
      </c>
      <c r="R428" s="35">
        <v>0.6</v>
      </c>
      <c r="S428" s="29">
        <v>4.6280000000000002E-3</v>
      </c>
      <c r="T428" s="29">
        <v>0.5069015</v>
      </c>
      <c r="U428" s="29">
        <v>82.087500000000006</v>
      </c>
    </row>
    <row r="429" spans="7:21">
      <c r="G429" s="32">
        <v>20231215</v>
      </c>
      <c r="H429" s="32" t="s">
        <v>2994</v>
      </c>
      <c r="I429" s="33" t="s">
        <v>2995</v>
      </c>
      <c r="J429" s="2" t="s">
        <v>2996</v>
      </c>
      <c r="K429" s="2" t="s">
        <v>1723</v>
      </c>
      <c r="L429" s="2" t="s">
        <v>1724</v>
      </c>
      <c r="M429" s="29">
        <v>11815</v>
      </c>
      <c r="N429" s="29">
        <v>11820</v>
      </c>
      <c r="O429" s="29">
        <v>11765</v>
      </c>
      <c r="P429" s="29">
        <v>11775</v>
      </c>
      <c r="Q429" s="29">
        <v>-25</v>
      </c>
      <c r="R429" s="35">
        <v>-0.21</v>
      </c>
      <c r="S429" s="29">
        <v>4.4939999999999997E-3</v>
      </c>
      <c r="T429" s="29">
        <v>0.52964129999999998</v>
      </c>
      <c r="U429" s="29">
        <v>261.40499999999997</v>
      </c>
    </row>
    <row r="430" spans="7:21">
      <c r="G430" s="32">
        <v>20231215</v>
      </c>
      <c r="H430" s="32" t="s">
        <v>2997</v>
      </c>
      <c r="I430" s="33" t="s">
        <v>2998</v>
      </c>
      <c r="J430" s="2" t="s">
        <v>2999</v>
      </c>
      <c r="K430" s="2" t="s">
        <v>1723</v>
      </c>
      <c r="L430" s="2" t="s">
        <v>1724</v>
      </c>
      <c r="M430" s="29">
        <v>9695</v>
      </c>
      <c r="N430" s="29">
        <v>9735</v>
      </c>
      <c r="O430" s="29">
        <v>9570</v>
      </c>
      <c r="P430" s="29">
        <v>9650</v>
      </c>
      <c r="Q430" s="29">
        <v>-75</v>
      </c>
      <c r="R430" s="35">
        <v>-0.77</v>
      </c>
      <c r="S430" s="29">
        <v>4.483E-3</v>
      </c>
      <c r="T430" s="29">
        <v>0.4331023</v>
      </c>
      <c r="U430" s="29">
        <v>67.55</v>
      </c>
    </row>
    <row r="431" spans="7:21">
      <c r="G431" s="32">
        <v>20231215</v>
      </c>
      <c r="H431" s="32" t="s">
        <v>3000</v>
      </c>
      <c r="I431" s="33" t="s">
        <v>3001</v>
      </c>
      <c r="J431" s="2" t="s">
        <v>3002</v>
      </c>
      <c r="K431" s="2" t="s">
        <v>1723</v>
      </c>
      <c r="L431" s="2" t="s">
        <v>1724</v>
      </c>
      <c r="M431" s="29">
        <v>9395</v>
      </c>
      <c r="N431" s="29">
        <v>9395</v>
      </c>
      <c r="O431" s="29">
        <v>9115</v>
      </c>
      <c r="P431" s="29">
        <v>9170</v>
      </c>
      <c r="Q431" s="29">
        <v>-70</v>
      </c>
      <c r="R431" s="35">
        <v>-0.76</v>
      </c>
      <c r="S431" s="29">
        <v>4.4790000000000003E-3</v>
      </c>
      <c r="T431" s="29">
        <v>0.41181174999999998</v>
      </c>
      <c r="U431" s="29">
        <v>55.02</v>
      </c>
    </row>
    <row r="432" spans="7:21">
      <c r="G432" s="32">
        <v>20231215</v>
      </c>
      <c r="H432" s="32" t="s">
        <v>3003</v>
      </c>
      <c r="I432" s="33" t="s">
        <v>3004</v>
      </c>
      <c r="J432" s="2" t="s">
        <v>3005</v>
      </c>
      <c r="K432" s="2" t="s">
        <v>1723</v>
      </c>
      <c r="L432" s="2" t="s">
        <v>1724</v>
      </c>
      <c r="M432" s="29">
        <v>8570</v>
      </c>
      <c r="N432" s="29">
        <v>8580</v>
      </c>
      <c r="O432" s="29">
        <v>8500</v>
      </c>
      <c r="P432" s="29">
        <v>8505</v>
      </c>
      <c r="Q432" s="29">
        <v>-5</v>
      </c>
      <c r="R432" s="35">
        <v>-0.06</v>
      </c>
      <c r="S432" s="29">
        <v>4.4640000000000001E-3</v>
      </c>
      <c r="T432" s="29">
        <v>0.38145499999999999</v>
      </c>
      <c r="U432" s="29">
        <v>51.03</v>
      </c>
    </row>
    <row r="433" spans="7:21">
      <c r="G433" s="32">
        <v>20231215</v>
      </c>
      <c r="H433" s="32" t="s">
        <v>3006</v>
      </c>
      <c r="I433" s="33" t="s">
        <v>3007</v>
      </c>
      <c r="J433" s="2" t="s">
        <v>3008</v>
      </c>
      <c r="K433" s="2" t="s">
        <v>1723</v>
      </c>
      <c r="L433" s="2" t="s">
        <v>1724</v>
      </c>
      <c r="M433" s="29">
        <v>14940</v>
      </c>
      <c r="N433" s="29">
        <v>15225</v>
      </c>
      <c r="O433" s="29">
        <v>14940</v>
      </c>
      <c r="P433" s="29">
        <v>15205</v>
      </c>
      <c r="Q433" s="29">
        <v>380</v>
      </c>
      <c r="R433" s="35">
        <v>2.56</v>
      </c>
      <c r="S433" s="29">
        <v>4.3449999999999999E-3</v>
      </c>
      <c r="T433" s="29">
        <v>0.65933169999999997</v>
      </c>
      <c r="U433" s="29">
        <v>53.217500000000001</v>
      </c>
    </row>
    <row r="434" spans="7:21">
      <c r="G434" s="32">
        <v>20231215</v>
      </c>
      <c r="H434" s="32" t="s">
        <v>3009</v>
      </c>
      <c r="I434" s="33" t="s">
        <v>3010</v>
      </c>
      <c r="J434" s="2" t="s">
        <v>3011</v>
      </c>
      <c r="K434" s="2" t="s">
        <v>1723</v>
      </c>
      <c r="L434" s="2" t="s">
        <v>1724</v>
      </c>
      <c r="M434" s="29">
        <v>8590</v>
      </c>
      <c r="N434" s="29">
        <v>8725</v>
      </c>
      <c r="O434" s="29">
        <v>8560</v>
      </c>
      <c r="P434" s="29">
        <v>8585</v>
      </c>
      <c r="Q434" s="29">
        <v>95</v>
      </c>
      <c r="R434" s="35">
        <v>1.1200000000000001</v>
      </c>
      <c r="S434" s="29">
        <v>4.3020000000000003E-3</v>
      </c>
      <c r="T434" s="29">
        <v>0.37118544999999997</v>
      </c>
      <c r="U434" s="29">
        <v>188.87</v>
      </c>
    </row>
    <row r="435" spans="7:21">
      <c r="G435" s="32">
        <v>20231215</v>
      </c>
      <c r="H435" s="32" t="s">
        <v>3012</v>
      </c>
      <c r="I435" s="33" t="s">
        <v>3013</v>
      </c>
      <c r="J435" s="2" t="s">
        <v>3014</v>
      </c>
      <c r="K435" s="2" t="s">
        <v>1723</v>
      </c>
      <c r="L435" s="2" t="s">
        <v>1724</v>
      </c>
      <c r="M435" s="29">
        <v>13615</v>
      </c>
      <c r="N435" s="29">
        <v>13660</v>
      </c>
      <c r="O435" s="29">
        <v>13430</v>
      </c>
      <c r="P435" s="29">
        <v>13500</v>
      </c>
      <c r="Q435" s="29">
        <v>0</v>
      </c>
      <c r="R435" s="35">
        <v>0</v>
      </c>
      <c r="S435" s="29">
        <v>4.2960000000000003E-3</v>
      </c>
      <c r="T435" s="29">
        <v>0.58082065000000005</v>
      </c>
      <c r="U435" s="29">
        <v>216</v>
      </c>
    </row>
    <row r="436" spans="7:21">
      <c r="G436" s="32">
        <v>20231215</v>
      </c>
      <c r="H436" s="32" t="s">
        <v>3015</v>
      </c>
      <c r="I436" s="33" t="s">
        <v>3016</v>
      </c>
      <c r="J436" s="2" t="s">
        <v>3017</v>
      </c>
      <c r="K436" s="2" t="s">
        <v>1723</v>
      </c>
      <c r="L436" s="2" t="s">
        <v>1724</v>
      </c>
      <c r="M436" s="29">
        <v>10100</v>
      </c>
      <c r="N436" s="29">
        <v>10335</v>
      </c>
      <c r="O436" s="29">
        <v>10100</v>
      </c>
      <c r="P436" s="29">
        <v>10330</v>
      </c>
      <c r="Q436" s="29">
        <v>230</v>
      </c>
      <c r="R436" s="35">
        <v>2.2799999999999998</v>
      </c>
      <c r="S436" s="29">
        <v>4.2069999999999998E-3</v>
      </c>
      <c r="T436" s="29">
        <v>0.43346899999999999</v>
      </c>
      <c r="U436" s="29">
        <v>103.3</v>
      </c>
    </row>
    <row r="437" spans="7:21">
      <c r="G437" s="32">
        <v>20231215</v>
      </c>
      <c r="H437" s="32" t="s">
        <v>3018</v>
      </c>
      <c r="I437" s="33" t="s">
        <v>3019</v>
      </c>
      <c r="J437" s="2" t="s">
        <v>3020</v>
      </c>
      <c r="K437" s="2" t="s">
        <v>1723</v>
      </c>
      <c r="L437" s="2" t="s">
        <v>1724</v>
      </c>
      <c r="M437" s="29">
        <v>17065</v>
      </c>
      <c r="N437" s="29">
        <v>17280</v>
      </c>
      <c r="O437" s="29">
        <v>17065</v>
      </c>
      <c r="P437" s="29">
        <v>17275</v>
      </c>
      <c r="Q437" s="29">
        <v>200</v>
      </c>
      <c r="R437" s="35">
        <v>1.17</v>
      </c>
      <c r="S437" s="29">
        <v>4.1970000000000002E-3</v>
      </c>
      <c r="T437" s="29">
        <v>0.72222145000000004</v>
      </c>
      <c r="U437" s="29">
        <v>176.20500000000001</v>
      </c>
    </row>
    <row r="438" spans="7:21">
      <c r="G438" s="32">
        <v>20231215</v>
      </c>
      <c r="H438" s="32" t="s">
        <v>3021</v>
      </c>
      <c r="I438" s="33" t="s">
        <v>3022</v>
      </c>
      <c r="J438" s="2" t="s">
        <v>3023</v>
      </c>
      <c r="K438" s="2" t="s">
        <v>1723</v>
      </c>
      <c r="L438" s="2" t="s">
        <v>1724</v>
      </c>
      <c r="M438" s="29">
        <v>99975</v>
      </c>
      <c r="N438" s="29">
        <v>99975</v>
      </c>
      <c r="O438" s="29">
        <v>99740</v>
      </c>
      <c r="P438" s="29">
        <v>99830</v>
      </c>
      <c r="Q438" s="29">
        <v>300</v>
      </c>
      <c r="R438" s="35">
        <v>0.3</v>
      </c>
      <c r="S438" s="29">
        <v>4.1130000000000003E-3</v>
      </c>
      <c r="T438" s="29">
        <v>4.1060775500000002</v>
      </c>
      <c r="U438" s="29">
        <v>699.80830000000003</v>
      </c>
    </row>
    <row r="439" spans="7:21">
      <c r="G439" s="32">
        <v>20231215</v>
      </c>
      <c r="H439" s="32" t="s">
        <v>3024</v>
      </c>
      <c r="I439" s="33" t="s">
        <v>3025</v>
      </c>
      <c r="J439" s="2" t="s">
        <v>3026</v>
      </c>
      <c r="K439" s="2" t="s">
        <v>1723</v>
      </c>
      <c r="L439" s="2" t="s">
        <v>1724</v>
      </c>
      <c r="M439" s="29">
        <v>9565</v>
      </c>
      <c r="N439" s="29">
        <v>9790</v>
      </c>
      <c r="O439" s="29">
        <v>9565</v>
      </c>
      <c r="P439" s="29">
        <v>9755</v>
      </c>
      <c r="Q439" s="29">
        <v>325</v>
      </c>
      <c r="R439" s="35">
        <v>3.45</v>
      </c>
      <c r="S439" s="29">
        <v>4.084E-3</v>
      </c>
      <c r="T439" s="29">
        <v>0.39737034999999998</v>
      </c>
      <c r="U439" s="29">
        <v>258.50749999999999</v>
      </c>
    </row>
    <row r="440" spans="7:21">
      <c r="G440" s="32">
        <v>20231215</v>
      </c>
      <c r="H440" s="32" t="s">
        <v>3027</v>
      </c>
      <c r="I440" s="33" t="s">
        <v>3028</v>
      </c>
      <c r="J440" s="2" t="s">
        <v>3029</v>
      </c>
      <c r="K440" s="2" t="s">
        <v>1723</v>
      </c>
      <c r="L440" s="2" t="s">
        <v>1724</v>
      </c>
      <c r="M440" s="29">
        <v>4440</v>
      </c>
      <c r="N440" s="29">
        <v>4515</v>
      </c>
      <c r="O440" s="29">
        <v>4440</v>
      </c>
      <c r="P440" s="29">
        <v>4505</v>
      </c>
      <c r="Q440" s="29">
        <v>95</v>
      </c>
      <c r="R440" s="35">
        <v>2.15</v>
      </c>
      <c r="S440" s="29">
        <v>4.0679999999999996E-3</v>
      </c>
      <c r="T440" s="29">
        <v>0.18271804999999999</v>
      </c>
      <c r="U440" s="29">
        <v>63.07</v>
      </c>
    </row>
    <row r="441" spans="7:21">
      <c r="G441" s="32">
        <v>20231215</v>
      </c>
      <c r="H441" s="32" t="s">
        <v>3030</v>
      </c>
      <c r="I441" s="33" t="s">
        <v>3031</v>
      </c>
      <c r="J441" s="2" t="s">
        <v>3032</v>
      </c>
      <c r="K441" s="2" t="s">
        <v>1723</v>
      </c>
      <c r="L441" s="2" t="s">
        <v>1724</v>
      </c>
      <c r="M441" s="29">
        <v>11935</v>
      </c>
      <c r="N441" s="29">
        <v>12205</v>
      </c>
      <c r="O441" s="29">
        <v>11930</v>
      </c>
      <c r="P441" s="29">
        <v>12070</v>
      </c>
      <c r="Q441" s="29">
        <v>310</v>
      </c>
      <c r="R441" s="35">
        <v>2.64</v>
      </c>
      <c r="S441" s="29">
        <v>3.98E-3</v>
      </c>
      <c r="T441" s="29">
        <v>0.47968735000000001</v>
      </c>
      <c r="U441" s="29">
        <v>54.314999999999998</v>
      </c>
    </row>
    <row r="442" spans="7:21">
      <c r="G442" s="32">
        <v>20231215</v>
      </c>
      <c r="H442" s="32" t="s">
        <v>3033</v>
      </c>
      <c r="I442" s="33" t="s">
        <v>3034</v>
      </c>
      <c r="J442" s="2" t="s">
        <v>3035</v>
      </c>
      <c r="K442" s="2" t="s">
        <v>1723</v>
      </c>
      <c r="L442" s="2" t="s">
        <v>1724</v>
      </c>
      <c r="M442" s="29">
        <v>26185</v>
      </c>
      <c r="N442" s="29">
        <v>26480</v>
      </c>
      <c r="O442" s="29">
        <v>26185</v>
      </c>
      <c r="P442" s="29">
        <v>26340</v>
      </c>
      <c r="Q442" s="29">
        <v>195</v>
      </c>
      <c r="R442" s="35">
        <v>0.75</v>
      </c>
      <c r="S442" s="29">
        <v>3.954E-3</v>
      </c>
      <c r="T442" s="29">
        <v>1.0444951</v>
      </c>
      <c r="U442" s="29">
        <v>1448.7</v>
      </c>
    </row>
    <row r="443" spans="7:21">
      <c r="G443" s="32">
        <v>20231215</v>
      </c>
      <c r="H443" s="32" t="s">
        <v>3036</v>
      </c>
      <c r="I443" s="33" t="s">
        <v>3037</v>
      </c>
      <c r="J443" s="2" t="s">
        <v>3038</v>
      </c>
      <c r="K443" s="2" t="s">
        <v>1723</v>
      </c>
      <c r="L443" s="2" t="s">
        <v>1724</v>
      </c>
      <c r="M443" s="29">
        <v>5620</v>
      </c>
      <c r="N443" s="29">
        <v>5620</v>
      </c>
      <c r="O443" s="29">
        <v>5520</v>
      </c>
      <c r="P443" s="29">
        <v>5555</v>
      </c>
      <c r="Q443" s="29">
        <v>-60</v>
      </c>
      <c r="R443" s="35">
        <v>-1.07</v>
      </c>
      <c r="S443" s="29">
        <v>3.9199999999999999E-3</v>
      </c>
      <c r="T443" s="29">
        <v>0.21750115</v>
      </c>
      <c r="U443" s="29">
        <v>27.774999999999999</v>
      </c>
    </row>
    <row r="444" spans="7:21">
      <c r="G444" s="32">
        <v>20231215</v>
      </c>
      <c r="H444" s="32" t="s">
        <v>3039</v>
      </c>
      <c r="I444" s="33" t="s">
        <v>3040</v>
      </c>
      <c r="J444" s="2" t="s">
        <v>3041</v>
      </c>
      <c r="K444" s="2" t="s">
        <v>1723</v>
      </c>
      <c r="L444" s="2" t="s">
        <v>1724</v>
      </c>
      <c r="M444" s="29">
        <v>6920</v>
      </c>
      <c r="N444" s="29">
        <v>6935</v>
      </c>
      <c r="O444" s="29">
        <v>6890</v>
      </c>
      <c r="P444" s="29">
        <v>6900</v>
      </c>
      <c r="Q444" s="29">
        <v>-20</v>
      </c>
      <c r="R444" s="35">
        <v>-0.28999999999999998</v>
      </c>
      <c r="S444" s="29">
        <v>3.9199999999999999E-3</v>
      </c>
      <c r="T444" s="29">
        <v>0.27071719999999999</v>
      </c>
      <c r="U444" s="29">
        <v>158.69999999999999</v>
      </c>
    </row>
    <row r="445" spans="7:21">
      <c r="G445" s="32">
        <v>20231215</v>
      </c>
      <c r="H445" s="32" t="s">
        <v>3042</v>
      </c>
      <c r="I445" s="33" t="s">
        <v>3043</v>
      </c>
      <c r="J445" s="2" t="s">
        <v>3044</v>
      </c>
      <c r="K445" s="2" t="s">
        <v>1723</v>
      </c>
      <c r="L445" s="2" t="s">
        <v>1724</v>
      </c>
      <c r="M445" s="29">
        <v>8730</v>
      </c>
      <c r="N445" s="29">
        <v>8730</v>
      </c>
      <c r="O445" s="29">
        <v>8530</v>
      </c>
      <c r="P445" s="29">
        <v>8575</v>
      </c>
      <c r="Q445" s="29">
        <v>-165</v>
      </c>
      <c r="R445" s="35">
        <v>-1.89</v>
      </c>
      <c r="S445" s="29">
        <v>3.9199999999999999E-3</v>
      </c>
      <c r="T445" s="29">
        <v>0.33595675000000003</v>
      </c>
      <c r="U445" s="29">
        <v>77.174999999999997</v>
      </c>
    </row>
    <row r="446" spans="7:21">
      <c r="G446" s="32">
        <v>20231215</v>
      </c>
      <c r="H446" s="32" t="s">
        <v>3045</v>
      </c>
      <c r="I446" s="33" t="s">
        <v>3046</v>
      </c>
      <c r="J446" s="2" t="s">
        <v>3047</v>
      </c>
      <c r="K446" s="2" t="s">
        <v>1723</v>
      </c>
      <c r="L446" s="2" t="s">
        <v>1724</v>
      </c>
      <c r="M446" s="29">
        <v>53190</v>
      </c>
      <c r="N446" s="29">
        <v>53205</v>
      </c>
      <c r="O446" s="29">
        <v>53095</v>
      </c>
      <c r="P446" s="29">
        <v>53150</v>
      </c>
      <c r="Q446" s="29">
        <v>15</v>
      </c>
      <c r="R446" s="35">
        <v>0.03</v>
      </c>
      <c r="S446" s="29">
        <v>3.8479999999999999E-3</v>
      </c>
      <c r="T446" s="29">
        <v>2.0463176500000002</v>
      </c>
      <c r="U446" s="29">
        <v>252.994</v>
      </c>
    </row>
    <row r="447" spans="7:21">
      <c r="G447" s="32">
        <v>20231215</v>
      </c>
      <c r="H447" s="32" t="s">
        <v>3048</v>
      </c>
      <c r="I447" s="33" t="s">
        <v>3049</v>
      </c>
      <c r="J447" s="2" t="s">
        <v>3050</v>
      </c>
      <c r="K447" s="2" t="s">
        <v>1723</v>
      </c>
      <c r="L447" s="2" t="s">
        <v>1724</v>
      </c>
      <c r="M447" s="29">
        <v>10390</v>
      </c>
      <c r="N447" s="29">
        <v>10390</v>
      </c>
      <c r="O447" s="29">
        <v>10300</v>
      </c>
      <c r="P447" s="29">
        <v>10360</v>
      </c>
      <c r="Q447" s="29">
        <v>-125</v>
      </c>
      <c r="R447" s="35">
        <v>-1.19</v>
      </c>
      <c r="S447" s="29">
        <v>3.8270000000000001E-3</v>
      </c>
      <c r="T447" s="29">
        <v>0.39601229999999998</v>
      </c>
      <c r="U447" s="29">
        <v>46.62</v>
      </c>
    </row>
    <row r="448" spans="7:21">
      <c r="G448" s="32">
        <v>20231215</v>
      </c>
      <c r="H448" s="32" t="s">
        <v>3051</v>
      </c>
      <c r="I448" s="33" t="s">
        <v>3052</v>
      </c>
      <c r="J448" s="2" t="s">
        <v>3053</v>
      </c>
      <c r="K448" s="2" t="s">
        <v>1723</v>
      </c>
      <c r="L448" s="2" t="s">
        <v>1724</v>
      </c>
      <c r="M448" s="29">
        <v>4330</v>
      </c>
      <c r="N448" s="29">
        <v>4330</v>
      </c>
      <c r="O448" s="29">
        <v>4280</v>
      </c>
      <c r="P448" s="29">
        <v>4310</v>
      </c>
      <c r="Q448" s="29">
        <v>-15</v>
      </c>
      <c r="R448" s="35">
        <v>-0.35</v>
      </c>
      <c r="S448" s="29">
        <v>3.8149999999999998E-3</v>
      </c>
      <c r="T448" s="29">
        <v>0.1638009</v>
      </c>
      <c r="U448" s="29">
        <v>135.76499999999999</v>
      </c>
    </row>
    <row r="449" spans="7:21">
      <c r="G449" s="32">
        <v>20231215</v>
      </c>
      <c r="H449" s="32" t="s">
        <v>3054</v>
      </c>
      <c r="I449" s="33" t="s">
        <v>3055</v>
      </c>
      <c r="J449" s="2" t="s">
        <v>3056</v>
      </c>
      <c r="K449" s="2" t="s">
        <v>1723</v>
      </c>
      <c r="L449" s="2" t="s">
        <v>1724</v>
      </c>
      <c r="M449" s="29">
        <v>11300</v>
      </c>
      <c r="N449" s="29">
        <v>11300</v>
      </c>
      <c r="O449" s="29">
        <v>11200</v>
      </c>
      <c r="P449" s="29">
        <v>11290</v>
      </c>
      <c r="Q449" s="29">
        <v>-130</v>
      </c>
      <c r="R449" s="35">
        <v>-1.1399999999999999</v>
      </c>
      <c r="S449" s="29">
        <v>3.8049999999999998E-3</v>
      </c>
      <c r="T449" s="29">
        <v>0.42759455000000002</v>
      </c>
      <c r="U449" s="29">
        <v>84.674999999999997</v>
      </c>
    </row>
    <row r="450" spans="7:21">
      <c r="G450" s="32">
        <v>20231215</v>
      </c>
      <c r="H450" s="32" t="s">
        <v>3057</v>
      </c>
      <c r="I450" s="33" t="s">
        <v>3058</v>
      </c>
      <c r="J450" s="2" t="s">
        <v>3059</v>
      </c>
      <c r="K450" s="2" t="s">
        <v>1723</v>
      </c>
      <c r="L450" s="2" t="s">
        <v>1724</v>
      </c>
      <c r="M450" s="29">
        <v>10250</v>
      </c>
      <c r="N450" s="29">
        <v>10250</v>
      </c>
      <c r="O450" s="29">
        <v>10145</v>
      </c>
      <c r="P450" s="29">
        <v>10220</v>
      </c>
      <c r="Q450" s="29">
        <v>50</v>
      </c>
      <c r="R450" s="35">
        <v>0.49</v>
      </c>
      <c r="S450" s="29">
        <v>3.7460000000000002E-3</v>
      </c>
      <c r="T450" s="29">
        <v>0.3825635</v>
      </c>
      <c r="U450" s="29">
        <v>81.760000000000005</v>
      </c>
    </row>
    <row r="451" spans="7:21">
      <c r="G451" s="32">
        <v>20231215</v>
      </c>
      <c r="H451" s="32" t="s">
        <v>3060</v>
      </c>
      <c r="I451" s="33" t="s">
        <v>3061</v>
      </c>
      <c r="J451" s="2" t="s">
        <v>3062</v>
      </c>
      <c r="K451" s="2" t="s">
        <v>1723</v>
      </c>
      <c r="L451" s="2" t="s">
        <v>1724</v>
      </c>
      <c r="M451" s="29">
        <v>16100</v>
      </c>
      <c r="N451" s="29">
        <v>16100</v>
      </c>
      <c r="O451" s="29">
        <v>15995</v>
      </c>
      <c r="P451" s="29">
        <v>16020</v>
      </c>
      <c r="Q451" s="29">
        <v>-80</v>
      </c>
      <c r="R451" s="35">
        <v>-0.5</v>
      </c>
      <c r="S451" s="29">
        <v>3.594E-3</v>
      </c>
      <c r="T451" s="29">
        <v>0.57603990000000005</v>
      </c>
      <c r="U451" s="29">
        <v>352.44</v>
      </c>
    </row>
    <row r="452" spans="7:21">
      <c r="G452" s="32">
        <v>20231215</v>
      </c>
      <c r="H452" s="32" t="s">
        <v>3063</v>
      </c>
      <c r="I452" s="33" t="s">
        <v>3064</v>
      </c>
      <c r="J452" s="2" t="s">
        <v>3065</v>
      </c>
      <c r="K452" s="2" t="s">
        <v>1723</v>
      </c>
      <c r="L452" s="2" t="s">
        <v>1724</v>
      </c>
      <c r="M452" s="29">
        <v>4335</v>
      </c>
      <c r="N452" s="29">
        <v>4335</v>
      </c>
      <c r="O452" s="29">
        <v>4285</v>
      </c>
      <c r="P452" s="29">
        <v>4285</v>
      </c>
      <c r="Q452" s="29">
        <v>-40</v>
      </c>
      <c r="R452" s="35">
        <v>-0.92</v>
      </c>
      <c r="S452" s="29">
        <v>3.555E-3</v>
      </c>
      <c r="T452" s="29">
        <v>0.15321525</v>
      </c>
      <c r="U452" s="29">
        <v>38.564999999999998</v>
      </c>
    </row>
    <row r="453" spans="7:21">
      <c r="G453" s="32">
        <v>20231215</v>
      </c>
      <c r="H453" s="32" t="s">
        <v>3066</v>
      </c>
      <c r="I453" s="33" t="s">
        <v>3067</v>
      </c>
      <c r="J453" s="2" t="s">
        <v>3068</v>
      </c>
      <c r="K453" s="2" t="s">
        <v>1723</v>
      </c>
      <c r="L453" s="2" t="s">
        <v>1724</v>
      </c>
      <c r="M453" s="29">
        <v>26625</v>
      </c>
      <c r="N453" s="29">
        <v>26855</v>
      </c>
      <c r="O453" s="29">
        <v>26625</v>
      </c>
      <c r="P453" s="29">
        <v>26790</v>
      </c>
      <c r="Q453" s="29">
        <v>305</v>
      </c>
      <c r="R453" s="35">
        <v>1.1499999999999999</v>
      </c>
      <c r="S453" s="29">
        <v>3.4719999999999998E-3</v>
      </c>
      <c r="T453" s="29">
        <v>0.92985810000000002</v>
      </c>
      <c r="U453" s="29">
        <v>281.29500000000002</v>
      </c>
    </row>
    <row r="454" spans="7:21">
      <c r="G454" s="32">
        <v>20231215</v>
      </c>
      <c r="H454" s="32" t="s">
        <v>3069</v>
      </c>
      <c r="I454" s="33" t="s">
        <v>3070</v>
      </c>
      <c r="J454" s="2" t="s">
        <v>3071</v>
      </c>
      <c r="K454" s="2" t="s">
        <v>1723</v>
      </c>
      <c r="L454" s="2" t="s">
        <v>1724</v>
      </c>
      <c r="M454" s="29">
        <v>6750</v>
      </c>
      <c r="N454" s="29">
        <v>6790</v>
      </c>
      <c r="O454" s="29">
        <v>6750</v>
      </c>
      <c r="P454" s="29">
        <v>6785</v>
      </c>
      <c r="Q454" s="29">
        <v>35</v>
      </c>
      <c r="R454" s="35">
        <v>0.52</v>
      </c>
      <c r="S454" s="29">
        <v>3.4499999999999999E-3</v>
      </c>
      <c r="T454" s="29">
        <v>0.2340354</v>
      </c>
      <c r="U454" s="29">
        <v>176.41</v>
      </c>
    </row>
    <row r="455" spans="7:21">
      <c r="G455" s="32">
        <v>20231215</v>
      </c>
      <c r="H455" s="32" t="s">
        <v>3072</v>
      </c>
      <c r="I455" s="33" t="s">
        <v>3073</v>
      </c>
      <c r="J455" s="2" t="s">
        <v>3074</v>
      </c>
      <c r="K455" s="2" t="s">
        <v>1723</v>
      </c>
      <c r="L455" s="2" t="s">
        <v>1724</v>
      </c>
      <c r="M455" s="29">
        <v>10130</v>
      </c>
      <c r="N455" s="29">
        <v>10130</v>
      </c>
      <c r="O455" s="29">
        <v>10120</v>
      </c>
      <c r="P455" s="29">
        <v>10120</v>
      </c>
      <c r="Q455" s="29">
        <v>25</v>
      </c>
      <c r="R455" s="35">
        <v>0.25</v>
      </c>
      <c r="S455" s="29">
        <v>3.4290000000000002E-3</v>
      </c>
      <c r="T455" s="29">
        <v>0.34729264999999998</v>
      </c>
      <c r="U455" s="29">
        <v>91.08</v>
      </c>
    </row>
    <row r="456" spans="7:21">
      <c r="G456" s="32">
        <v>20231215</v>
      </c>
      <c r="H456" s="32" t="s">
        <v>3075</v>
      </c>
      <c r="I456" s="33" t="s">
        <v>3076</v>
      </c>
      <c r="J456" s="2" t="s">
        <v>3077</v>
      </c>
      <c r="K456" s="2" t="s">
        <v>1723</v>
      </c>
      <c r="L456" s="2" t="s">
        <v>1724</v>
      </c>
      <c r="M456" s="29">
        <v>13800</v>
      </c>
      <c r="N456" s="29">
        <v>13835</v>
      </c>
      <c r="O456" s="29">
        <v>13780</v>
      </c>
      <c r="P456" s="29">
        <v>13790</v>
      </c>
      <c r="Q456" s="29">
        <v>-10</v>
      </c>
      <c r="R456" s="35">
        <v>-7.0000000000000007E-2</v>
      </c>
      <c r="S456" s="29">
        <v>3.411E-3</v>
      </c>
      <c r="T456" s="29">
        <v>0.47039069999999999</v>
      </c>
      <c r="U456" s="29">
        <v>281.31599999999997</v>
      </c>
    </row>
    <row r="457" spans="7:21">
      <c r="G457" s="32">
        <v>20231215</v>
      </c>
      <c r="H457" s="32" t="s">
        <v>3078</v>
      </c>
      <c r="I457" s="33" t="s">
        <v>3079</v>
      </c>
      <c r="J457" s="2" t="s">
        <v>3080</v>
      </c>
      <c r="K457" s="2" t="s">
        <v>1723</v>
      </c>
      <c r="L457" s="2" t="s">
        <v>1724</v>
      </c>
      <c r="M457" s="29">
        <v>4470</v>
      </c>
      <c r="N457" s="29">
        <v>4470</v>
      </c>
      <c r="O457" s="29">
        <v>4355</v>
      </c>
      <c r="P457" s="29">
        <v>4425</v>
      </c>
      <c r="Q457" s="29">
        <v>20</v>
      </c>
      <c r="R457" s="35">
        <v>0.45</v>
      </c>
      <c r="S457" s="29">
        <v>3.405E-3</v>
      </c>
      <c r="T457" s="29">
        <v>0.14956369999999999</v>
      </c>
      <c r="U457" s="29">
        <v>44.25</v>
      </c>
    </row>
    <row r="458" spans="7:21">
      <c r="G458" s="32">
        <v>20231215</v>
      </c>
      <c r="H458" s="32" t="s">
        <v>3081</v>
      </c>
      <c r="I458" s="33" t="s">
        <v>3082</v>
      </c>
      <c r="J458" s="2" t="s">
        <v>3083</v>
      </c>
      <c r="K458" s="2" t="s">
        <v>1723</v>
      </c>
      <c r="L458" s="2" t="s">
        <v>1724</v>
      </c>
      <c r="M458" s="29">
        <v>6690</v>
      </c>
      <c r="N458" s="29">
        <v>6745</v>
      </c>
      <c r="O458" s="29">
        <v>6635</v>
      </c>
      <c r="P458" s="29">
        <v>6665</v>
      </c>
      <c r="Q458" s="29">
        <v>40</v>
      </c>
      <c r="R458" s="35">
        <v>0.6</v>
      </c>
      <c r="S458" s="29">
        <v>3.3790000000000001E-3</v>
      </c>
      <c r="T458" s="29">
        <v>0.22572149999999999</v>
      </c>
      <c r="U458" s="29">
        <v>146.63</v>
      </c>
    </row>
    <row r="459" spans="7:21">
      <c r="G459" s="32">
        <v>20231215</v>
      </c>
      <c r="H459" s="32" t="s">
        <v>3084</v>
      </c>
      <c r="I459" s="33" t="s">
        <v>3085</v>
      </c>
      <c r="J459" s="2" t="s">
        <v>3086</v>
      </c>
      <c r="K459" s="2" t="s">
        <v>1723</v>
      </c>
      <c r="L459" s="2" t="s">
        <v>1724</v>
      </c>
      <c r="M459" s="29">
        <v>10930</v>
      </c>
      <c r="N459" s="29">
        <v>10935</v>
      </c>
      <c r="O459" s="29">
        <v>10880</v>
      </c>
      <c r="P459" s="29">
        <v>10885</v>
      </c>
      <c r="Q459" s="29">
        <v>30</v>
      </c>
      <c r="R459" s="35">
        <v>0.28000000000000003</v>
      </c>
      <c r="S459" s="29">
        <v>3.3730000000000001E-3</v>
      </c>
      <c r="T459" s="29">
        <v>0.36778810000000001</v>
      </c>
      <c r="U459" s="29">
        <v>54.424999999999997</v>
      </c>
    </row>
    <row r="460" spans="7:21">
      <c r="G460" s="32">
        <v>20231215</v>
      </c>
      <c r="H460" s="32" t="s">
        <v>3087</v>
      </c>
      <c r="I460" s="33" t="s">
        <v>3088</v>
      </c>
      <c r="J460" s="2" t="s">
        <v>3089</v>
      </c>
      <c r="K460" s="2" t="s">
        <v>1723</v>
      </c>
      <c r="L460" s="2" t="s">
        <v>1724</v>
      </c>
      <c r="M460" s="29">
        <v>6590</v>
      </c>
      <c r="N460" s="29">
        <v>6670</v>
      </c>
      <c r="O460" s="29">
        <v>6565</v>
      </c>
      <c r="P460" s="29">
        <v>6640</v>
      </c>
      <c r="Q460" s="29">
        <v>-15</v>
      </c>
      <c r="R460" s="35">
        <v>-0.23</v>
      </c>
      <c r="S460" s="29">
        <v>3.3639999999999998E-3</v>
      </c>
      <c r="T460" s="29">
        <v>0.22231419999999999</v>
      </c>
      <c r="U460" s="29">
        <v>37.183999999999997</v>
      </c>
    </row>
    <row r="461" spans="7:21">
      <c r="G461" s="32">
        <v>20231215</v>
      </c>
      <c r="H461" s="32" t="s">
        <v>3090</v>
      </c>
      <c r="I461" s="33" t="s">
        <v>3091</v>
      </c>
      <c r="J461" s="2" t="s">
        <v>3092</v>
      </c>
      <c r="K461" s="2" t="s">
        <v>1723</v>
      </c>
      <c r="L461" s="2" t="s">
        <v>1724</v>
      </c>
      <c r="M461" s="29">
        <v>9410</v>
      </c>
      <c r="N461" s="29">
        <v>9600</v>
      </c>
      <c r="O461" s="29">
        <v>9410</v>
      </c>
      <c r="P461" s="29">
        <v>9600</v>
      </c>
      <c r="Q461" s="29">
        <v>190</v>
      </c>
      <c r="R461" s="35">
        <v>2.02</v>
      </c>
      <c r="S461" s="29">
        <v>3.3470000000000001E-3</v>
      </c>
      <c r="T461" s="29">
        <v>0.31754864999999999</v>
      </c>
      <c r="U461" s="29">
        <v>153.6</v>
      </c>
    </row>
    <row r="462" spans="7:21">
      <c r="G462" s="32">
        <v>20231215</v>
      </c>
      <c r="H462" s="32" t="s">
        <v>3093</v>
      </c>
      <c r="I462" s="33" t="s">
        <v>3094</v>
      </c>
      <c r="J462" s="2" t="s">
        <v>3095</v>
      </c>
      <c r="K462" s="2" t="s">
        <v>1723</v>
      </c>
      <c r="L462" s="2" t="s">
        <v>1724</v>
      </c>
      <c r="M462" s="29">
        <v>108360</v>
      </c>
      <c r="N462" s="29">
        <v>108400</v>
      </c>
      <c r="O462" s="29">
        <v>108360</v>
      </c>
      <c r="P462" s="29">
        <v>108400</v>
      </c>
      <c r="Q462" s="29">
        <v>85</v>
      </c>
      <c r="R462" s="35">
        <v>0.08</v>
      </c>
      <c r="S462" s="29">
        <v>3.2320000000000001E-3</v>
      </c>
      <c r="T462" s="29">
        <v>3.5033411499999998</v>
      </c>
      <c r="U462" s="29">
        <v>1382.1</v>
      </c>
    </row>
    <row r="463" spans="7:21">
      <c r="G463" s="32">
        <v>20231215</v>
      </c>
      <c r="H463" s="32" t="s">
        <v>3096</v>
      </c>
      <c r="I463" s="33" t="s">
        <v>3097</v>
      </c>
      <c r="J463" s="2" t="s">
        <v>3098</v>
      </c>
      <c r="K463" s="2" t="s">
        <v>1723</v>
      </c>
      <c r="L463" s="2" t="s">
        <v>1724</v>
      </c>
      <c r="M463" s="29">
        <v>11825</v>
      </c>
      <c r="N463" s="29">
        <v>11865</v>
      </c>
      <c r="O463" s="29">
        <v>11760</v>
      </c>
      <c r="P463" s="29">
        <v>11860</v>
      </c>
      <c r="Q463" s="29">
        <v>320</v>
      </c>
      <c r="R463" s="35">
        <v>2.77</v>
      </c>
      <c r="S463" s="29">
        <v>3.2030000000000001E-3</v>
      </c>
      <c r="T463" s="29">
        <v>0.37871539999999998</v>
      </c>
      <c r="U463" s="29">
        <v>118.6</v>
      </c>
    </row>
    <row r="464" spans="7:21">
      <c r="G464" s="32">
        <v>20231215</v>
      </c>
      <c r="H464" s="32" t="s">
        <v>3099</v>
      </c>
      <c r="I464" s="33" t="s">
        <v>3100</v>
      </c>
      <c r="J464" s="2" t="s">
        <v>3101</v>
      </c>
      <c r="K464" s="2" t="s">
        <v>1723</v>
      </c>
      <c r="L464" s="2" t="s">
        <v>1724</v>
      </c>
      <c r="M464" s="29">
        <v>11235</v>
      </c>
      <c r="N464" s="29">
        <v>11275</v>
      </c>
      <c r="O464" s="29">
        <v>11235</v>
      </c>
      <c r="P464" s="29">
        <v>11270</v>
      </c>
      <c r="Q464" s="29">
        <v>40</v>
      </c>
      <c r="R464" s="35">
        <v>0.36</v>
      </c>
      <c r="S464" s="29">
        <v>3.202E-3</v>
      </c>
      <c r="T464" s="29">
        <v>0.36047085000000001</v>
      </c>
      <c r="U464" s="29">
        <v>101.43</v>
      </c>
    </row>
    <row r="465" spans="7:21">
      <c r="G465" s="32">
        <v>20231215</v>
      </c>
      <c r="H465" s="32" t="s">
        <v>3102</v>
      </c>
      <c r="I465" s="33" t="s">
        <v>3103</v>
      </c>
      <c r="J465" s="2" t="s">
        <v>3104</v>
      </c>
      <c r="K465" s="2" t="s">
        <v>1723</v>
      </c>
      <c r="L465" s="2" t="s">
        <v>1724</v>
      </c>
      <c r="M465" s="29">
        <v>6000</v>
      </c>
      <c r="N465" s="29">
        <v>6000</v>
      </c>
      <c r="O465" s="29">
        <v>5940</v>
      </c>
      <c r="P465" s="29">
        <v>5955</v>
      </c>
      <c r="Q465" s="29">
        <v>5</v>
      </c>
      <c r="R465" s="35">
        <v>0.08</v>
      </c>
      <c r="S465" s="29">
        <v>3.1779999999999998E-3</v>
      </c>
      <c r="T465" s="29">
        <v>0.18988450000000001</v>
      </c>
      <c r="U465" s="29">
        <v>117.90900000000001</v>
      </c>
    </row>
    <row r="466" spans="7:21">
      <c r="G466" s="32">
        <v>20231215</v>
      </c>
      <c r="H466" s="32" t="s">
        <v>3105</v>
      </c>
      <c r="I466" s="33" t="s">
        <v>3106</v>
      </c>
      <c r="J466" s="2" t="s">
        <v>3107</v>
      </c>
      <c r="K466" s="2" t="s">
        <v>1723</v>
      </c>
      <c r="L466" s="2" t="s">
        <v>1724</v>
      </c>
      <c r="M466" s="29">
        <v>14715</v>
      </c>
      <c r="N466" s="29">
        <v>14825</v>
      </c>
      <c r="O466" s="29">
        <v>14715</v>
      </c>
      <c r="P466" s="29">
        <v>14820</v>
      </c>
      <c r="Q466" s="29">
        <v>30</v>
      </c>
      <c r="R466" s="35">
        <v>0.2</v>
      </c>
      <c r="S466" s="29">
        <v>3.1470000000000001E-3</v>
      </c>
      <c r="T466" s="29">
        <v>0.46571835</v>
      </c>
      <c r="U466" s="29">
        <v>237.12</v>
      </c>
    </row>
    <row r="467" spans="7:21">
      <c r="G467" s="32">
        <v>20231215</v>
      </c>
      <c r="H467" s="32" t="s">
        <v>3108</v>
      </c>
      <c r="I467" s="33" t="s">
        <v>3109</v>
      </c>
      <c r="J467" s="2" t="s">
        <v>3110</v>
      </c>
      <c r="K467" s="2" t="s">
        <v>1723</v>
      </c>
      <c r="L467" s="2" t="s">
        <v>1724</v>
      </c>
      <c r="M467" s="29">
        <v>11245</v>
      </c>
      <c r="N467" s="29">
        <v>11350</v>
      </c>
      <c r="O467" s="29">
        <v>11230</v>
      </c>
      <c r="P467" s="29">
        <v>11235</v>
      </c>
      <c r="Q467" s="29">
        <v>35</v>
      </c>
      <c r="R467" s="35">
        <v>0.31</v>
      </c>
      <c r="S467" s="29">
        <v>3.0969999999999999E-3</v>
      </c>
      <c r="T467" s="29">
        <v>0.34902319999999998</v>
      </c>
      <c r="U467" s="29">
        <v>78.644999999999996</v>
      </c>
    </row>
    <row r="468" spans="7:21">
      <c r="G468" s="32">
        <v>20231215</v>
      </c>
      <c r="H468" s="32" t="s">
        <v>3111</v>
      </c>
      <c r="I468" s="33" t="s">
        <v>3112</v>
      </c>
      <c r="J468" s="2" t="s">
        <v>3113</v>
      </c>
      <c r="K468" s="2" t="s">
        <v>1723</v>
      </c>
      <c r="L468" s="2" t="s">
        <v>1724</v>
      </c>
      <c r="M468" s="29">
        <v>12605</v>
      </c>
      <c r="N468" s="29">
        <v>12655</v>
      </c>
      <c r="O468" s="29">
        <v>12605</v>
      </c>
      <c r="P468" s="29">
        <v>12655</v>
      </c>
      <c r="Q468" s="29">
        <v>15</v>
      </c>
      <c r="R468" s="35">
        <v>0.12</v>
      </c>
      <c r="S468" s="29">
        <v>3.0959999999999998E-3</v>
      </c>
      <c r="T468" s="29">
        <v>0.39081664999999999</v>
      </c>
      <c r="U468" s="29">
        <v>120.2225</v>
      </c>
    </row>
    <row r="469" spans="7:21">
      <c r="G469" s="32">
        <v>20231215</v>
      </c>
      <c r="H469" s="32" t="s">
        <v>3114</v>
      </c>
      <c r="I469" s="33" t="s">
        <v>3115</v>
      </c>
      <c r="J469" s="2" t="s">
        <v>3116</v>
      </c>
      <c r="K469" s="2" t="s">
        <v>1723</v>
      </c>
      <c r="L469" s="2" t="s">
        <v>1724</v>
      </c>
      <c r="M469" s="29">
        <v>11915</v>
      </c>
      <c r="N469" s="29">
        <v>12070</v>
      </c>
      <c r="O469" s="29">
        <v>11895</v>
      </c>
      <c r="P469" s="29">
        <v>12070</v>
      </c>
      <c r="Q469" s="29">
        <v>170</v>
      </c>
      <c r="R469" s="35">
        <v>1.43</v>
      </c>
      <c r="S469" s="29">
        <v>3.078E-3</v>
      </c>
      <c r="T469" s="29">
        <v>0.36953140000000001</v>
      </c>
      <c r="U469" s="29">
        <v>114.66500000000001</v>
      </c>
    </row>
    <row r="470" spans="7:21">
      <c r="G470" s="32">
        <v>20231215</v>
      </c>
      <c r="H470" s="32" t="s">
        <v>3117</v>
      </c>
      <c r="I470" s="33" t="s">
        <v>3118</v>
      </c>
      <c r="J470" s="2" t="s">
        <v>3119</v>
      </c>
      <c r="K470" s="2" t="s">
        <v>1723</v>
      </c>
      <c r="L470" s="2" t="s">
        <v>1724</v>
      </c>
      <c r="M470" s="29">
        <v>34640</v>
      </c>
      <c r="N470" s="29">
        <v>35045</v>
      </c>
      <c r="O470" s="29">
        <v>34640</v>
      </c>
      <c r="P470" s="29">
        <v>34780</v>
      </c>
      <c r="Q470" s="29">
        <v>195</v>
      </c>
      <c r="R470" s="35">
        <v>0.56000000000000005</v>
      </c>
      <c r="S470" s="29">
        <v>2.9949999999999998E-3</v>
      </c>
      <c r="T470" s="29">
        <v>1.0467357500000001</v>
      </c>
      <c r="U470" s="29">
        <v>4556.18</v>
      </c>
    </row>
    <row r="471" spans="7:21">
      <c r="G471" s="32">
        <v>20231215</v>
      </c>
      <c r="H471" s="32" t="s">
        <v>3120</v>
      </c>
      <c r="I471" s="33" t="s">
        <v>3121</v>
      </c>
      <c r="J471" s="2" t="s">
        <v>3122</v>
      </c>
      <c r="K471" s="2" t="s">
        <v>1723</v>
      </c>
      <c r="L471" s="2" t="s">
        <v>1724</v>
      </c>
      <c r="M471" s="29">
        <v>11460</v>
      </c>
      <c r="N471" s="29">
        <v>11520</v>
      </c>
      <c r="O471" s="29">
        <v>11395</v>
      </c>
      <c r="P471" s="29">
        <v>11520</v>
      </c>
      <c r="Q471" s="29">
        <v>0</v>
      </c>
      <c r="R471" s="35">
        <v>0</v>
      </c>
      <c r="S471" s="29">
        <v>2.9949999999999998E-3</v>
      </c>
      <c r="T471" s="29">
        <v>0.34292515000000001</v>
      </c>
      <c r="U471" s="29">
        <v>63.36</v>
      </c>
    </row>
    <row r="472" spans="7:21">
      <c r="G472" s="32">
        <v>20231215</v>
      </c>
      <c r="H472" s="32" t="s">
        <v>3123</v>
      </c>
      <c r="I472" s="33" t="s">
        <v>3124</v>
      </c>
      <c r="J472" s="2" t="s">
        <v>3125</v>
      </c>
      <c r="K472" s="2" t="s">
        <v>1723</v>
      </c>
      <c r="L472" s="2" t="s">
        <v>1724</v>
      </c>
      <c r="M472" s="29">
        <v>106505</v>
      </c>
      <c r="N472" s="29">
        <v>106535</v>
      </c>
      <c r="O472" s="29">
        <v>106505</v>
      </c>
      <c r="P472" s="29">
        <v>106535</v>
      </c>
      <c r="Q472" s="29">
        <v>30</v>
      </c>
      <c r="R472" s="35">
        <v>0.03</v>
      </c>
      <c r="S472" s="29">
        <v>2.9750000000000002E-3</v>
      </c>
      <c r="T472" s="29">
        <v>3.1691599500000001</v>
      </c>
      <c r="U472" s="29">
        <v>1996.4658999999999</v>
      </c>
    </row>
    <row r="473" spans="7:21">
      <c r="G473" s="32">
        <v>20231215</v>
      </c>
      <c r="H473" s="32" t="s">
        <v>3126</v>
      </c>
      <c r="I473" s="33" t="s">
        <v>3127</v>
      </c>
      <c r="J473" s="2" t="s">
        <v>3128</v>
      </c>
      <c r="K473" s="2" t="s">
        <v>1723</v>
      </c>
      <c r="L473" s="2" t="s">
        <v>1724</v>
      </c>
      <c r="M473" s="29">
        <v>7000</v>
      </c>
      <c r="N473" s="29">
        <v>7195</v>
      </c>
      <c r="O473" s="29">
        <v>7000</v>
      </c>
      <c r="P473" s="29">
        <v>7180</v>
      </c>
      <c r="Q473" s="29">
        <v>320</v>
      </c>
      <c r="R473" s="35">
        <v>4.66</v>
      </c>
      <c r="S473" s="29">
        <v>2.9499999999999999E-3</v>
      </c>
      <c r="T473" s="29">
        <v>0.21118465</v>
      </c>
      <c r="U473" s="29">
        <v>39.49</v>
      </c>
    </row>
    <row r="474" spans="7:21">
      <c r="G474" s="32">
        <v>20231215</v>
      </c>
      <c r="H474" s="32" t="s">
        <v>3129</v>
      </c>
      <c r="I474" s="33" t="s">
        <v>3130</v>
      </c>
      <c r="J474" s="2" t="s">
        <v>3131</v>
      </c>
      <c r="K474" s="2" t="s">
        <v>1723</v>
      </c>
      <c r="L474" s="2" t="s">
        <v>1724</v>
      </c>
      <c r="M474" s="29">
        <v>10835</v>
      </c>
      <c r="N474" s="29">
        <v>10835</v>
      </c>
      <c r="O474" s="29">
        <v>10690</v>
      </c>
      <c r="P474" s="29">
        <v>10745</v>
      </c>
      <c r="Q474" s="29">
        <v>40</v>
      </c>
      <c r="R474" s="35">
        <v>0.37</v>
      </c>
      <c r="S474" s="29">
        <v>2.9489999999999998E-3</v>
      </c>
      <c r="T474" s="29">
        <v>0.31667525000000002</v>
      </c>
      <c r="U474" s="29">
        <v>164.39850000000001</v>
      </c>
    </row>
    <row r="475" spans="7:21">
      <c r="G475" s="32">
        <v>20231215</v>
      </c>
      <c r="H475" s="32" t="s">
        <v>3132</v>
      </c>
      <c r="I475" s="33" t="s">
        <v>3133</v>
      </c>
      <c r="J475" s="2" t="s">
        <v>3134</v>
      </c>
      <c r="K475" s="2" t="s">
        <v>1723</v>
      </c>
      <c r="L475" s="2" t="s">
        <v>1724</v>
      </c>
      <c r="M475" s="29">
        <v>18900</v>
      </c>
      <c r="N475" s="29">
        <v>19190</v>
      </c>
      <c r="O475" s="29">
        <v>18895</v>
      </c>
      <c r="P475" s="29">
        <v>18895</v>
      </c>
      <c r="Q475" s="29">
        <v>280</v>
      </c>
      <c r="R475" s="35">
        <v>1.5</v>
      </c>
      <c r="S475" s="29">
        <v>2.9320000000000001E-3</v>
      </c>
      <c r="T475" s="29">
        <v>0.55858574999999999</v>
      </c>
      <c r="U475" s="29">
        <v>359.005</v>
      </c>
    </row>
    <row r="476" spans="7:21">
      <c r="G476" s="32">
        <v>20231215</v>
      </c>
      <c r="H476" s="32" t="s">
        <v>3135</v>
      </c>
      <c r="I476" s="33" t="s">
        <v>3136</v>
      </c>
      <c r="J476" s="2" t="s">
        <v>3137</v>
      </c>
      <c r="K476" s="2" t="s">
        <v>1723</v>
      </c>
      <c r="L476" s="2" t="s">
        <v>1724</v>
      </c>
      <c r="M476" s="29">
        <v>7085</v>
      </c>
      <c r="N476" s="29">
        <v>7170</v>
      </c>
      <c r="O476" s="29">
        <v>7085</v>
      </c>
      <c r="P476" s="29">
        <v>7145</v>
      </c>
      <c r="Q476" s="29">
        <v>60</v>
      </c>
      <c r="R476" s="35">
        <v>0.85</v>
      </c>
      <c r="S476" s="29">
        <v>2.892E-3</v>
      </c>
      <c r="T476" s="29">
        <v>0.20639189999999999</v>
      </c>
      <c r="U476" s="29">
        <v>442.99</v>
      </c>
    </row>
    <row r="477" spans="7:21">
      <c r="G477" s="32">
        <v>20231215</v>
      </c>
      <c r="H477" s="32" t="s">
        <v>3138</v>
      </c>
      <c r="I477" s="33" t="s">
        <v>3139</v>
      </c>
      <c r="J477" s="2" t="s">
        <v>3140</v>
      </c>
      <c r="K477" s="2" t="s">
        <v>1723</v>
      </c>
      <c r="L477" s="2" t="s">
        <v>1724</v>
      </c>
      <c r="M477" s="29">
        <v>23925</v>
      </c>
      <c r="N477" s="29">
        <v>23995</v>
      </c>
      <c r="O477" s="29">
        <v>23810</v>
      </c>
      <c r="P477" s="29">
        <v>23810</v>
      </c>
      <c r="Q477" s="29">
        <v>95</v>
      </c>
      <c r="R477" s="35">
        <v>0.4</v>
      </c>
      <c r="S477" s="29">
        <v>2.8679999999999999E-3</v>
      </c>
      <c r="T477" s="29">
        <v>0.68374515000000002</v>
      </c>
      <c r="U477" s="29">
        <v>273.815</v>
      </c>
    </row>
    <row r="478" spans="7:21">
      <c r="G478" s="32">
        <v>20231215</v>
      </c>
      <c r="H478" s="32" t="s">
        <v>3141</v>
      </c>
      <c r="I478" s="33" t="s">
        <v>3142</v>
      </c>
      <c r="J478" s="2" t="s">
        <v>3143</v>
      </c>
      <c r="K478" s="2" t="s">
        <v>1723</v>
      </c>
      <c r="L478" s="2" t="s">
        <v>1724</v>
      </c>
      <c r="M478" s="29">
        <v>4690</v>
      </c>
      <c r="N478" s="29">
        <v>4690</v>
      </c>
      <c r="O478" s="29">
        <v>4660</v>
      </c>
      <c r="P478" s="29">
        <v>4675</v>
      </c>
      <c r="Q478" s="29">
        <v>-10</v>
      </c>
      <c r="R478" s="35">
        <v>-0.21</v>
      </c>
      <c r="S478" s="29">
        <v>2.8570000000000002E-3</v>
      </c>
      <c r="T478" s="29">
        <v>0.13351315</v>
      </c>
      <c r="U478" s="29">
        <v>257.125</v>
      </c>
    </row>
    <row r="479" spans="7:21">
      <c r="G479" s="32">
        <v>20231215</v>
      </c>
      <c r="H479" s="32" t="s">
        <v>3144</v>
      </c>
      <c r="I479" s="33" t="s">
        <v>3145</v>
      </c>
      <c r="J479" s="2" t="s">
        <v>3146</v>
      </c>
      <c r="K479" s="2" t="s">
        <v>1723</v>
      </c>
      <c r="L479" s="2" t="s">
        <v>1724</v>
      </c>
      <c r="M479" s="29">
        <v>12210</v>
      </c>
      <c r="N479" s="29">
        <v>12280</v>
      </c>
      <c r="O479" s="29">
        <v>12155</v>
      </c>
      <c r="P479" s="29">
        <v>12250</v>
      </c>
      <c r="Q479" s="29">
        <v>150</v>
      </c>
      <c r="R479" s="35">
        <v>1.24</v>
      </c>
      <c r="S479" s="29">
        <v>2.8189999999999999E-3</v>
      </c>
      <c r="T479" s="29">
        <v>0.34480654999999999</v>
      </c>
      <c r="U479" s="29">
        <v>79.625</v>
      </c>
    </row>
    <row r="480" spans="7:21">
      <c r="G480" s="32">
        <v>20231215</v>
      </c>
      <c r="H480" s="32" t="s">
        <v>3147</v>
      </c>
      <c r="I480" s="33" t="s">
        <v>3148</v>
      </c>
      <c r="J480" s="2" t="s">
        <v>3149</v>
      </c>
      <c r="K480" s="2" t="s">
        <v>1723</v>
      </c>
      <c r="L480" s="2" t="s">
        <v>1724</v>
      </c>
      <c r="M480" s="29">
        <v>8735</v>
      </c>
      <c r="N480" s="29">
        <v>8735</v>
      </c>
      <c r="O480" s="29">
        <v>8660</v>
      </c>
      <c r="P480" s="29">
        <v>8670</v>
      </c>
      <c r="Q480" s="29">
        <v>100</v>
      </c>
      <c r="R480" s="35">
        <v>1.17</v>
      </c>
      <c r="S480" s="29">
        <v>2.787E-3</v>
      </c>
      <c r="T480" s="29">
        <v>0.24278820000000001</v>
      </c>
      <c r="U480" s="29">
        <v>73.694999999999993</v>
      </c>
    </row>
    <row r="481" spans="7:21">
      <c r="G481" s="32">
        <v>20231215</v>
      </c>
      <c r="H481" s="32" t="s">
        <v>3150</v>
      </c>
      <c r="I481" s="33" t="s">
        <v>3151</v>
      </c>
      <c r="J481" s="2" t="s">
        <v>3152</v>
      </c>
      <c r="K481" s="2" t="s">
        <v>1723</v>
      </c>
      <c r="L481" s="2" t="s">
        <v>1724</v>
      </c>
      <c r="M481" s="29">
        <v>12735</v>
      </c>
      <c r="N481" s="29">
        <v>12805</v>
      </c>
      <c r="O481" s="29">
        <v>12735</v>
      </c>
      <c r="P481" s="29">
        <v>12755</v>
      </c>
      <c r="Q481" s="29">
        <v>155</v>
      </c>
      <c r="R481" s="35">
        <v>1.23</v>
      </c>
      <c r="S481" s="29">
        <v>2.7780000000000001E-3</v>
      </c>
      <c r="T481" s="29">
        <v>0.35497495000000001</v>
      </c>
      <c r="U481" s="29">
        <v>57.397500000000001</v>
      </c>
    </row>
    <row r="482" spans="7:21">
      <c r="G482" s="32">
        <v>20231215</v>
      </c>
      <c r="H482" s="32" t="s">
        <v>3153</v>
      </c>
      <c r="I482" s="33" t="s">
        <v>3154</v>
      </c>
      <c r="J482" s="2" t="s">
        <v>3155</v>
      </c>
      <c r="K482" s="2" t="s">
        <v>1723</v>
      </c>
      <c r="L482" s="2" t="s">
        <v>1724</v>
      </c>
      <c r="M482" s="29">
        <v>12650</v>
      </c>
      <c r="N482" s="29">
        <v>12650</v>
      </c>
      <c r="O482" s="29">
        <v>12540</v>
      </c>
      <c r="P482" s="29">
        <v>12600</v>
      </c>
      <c r="Q482" s="29">
        <v>15</v>
      </c>
      <c r="R482" s="35">
        <v>0.12</v>
      </c>
      <c r="S482" s="29">
        <v>2.7599999999999999E-3</v>
      </c>
      <c r="T482" s="29">
        <v>0.34807735000000001</v>
      </c>
      <c r="U482" s="29">
        <v>75.599999999999994</v>
      </c>
    </row>
    <row r="483" spans="7:21">
      <c r="G483" s="32">
        <v>20231215</v>
      </c>
      <c r="H483" s="32" t="s">
        <v>3156</v>
      </c>
      <c r="I483" s="33" t="s">
        <v>3157</v>
      </c>
      <c r="J483" s="2" t="s">
        <v>3158</v>
      </c>
      <c r="K483" s="2" t="s">
        <v>1723</v>
      </c>
      <c r="L483" s="2" t="s">
        <v>1724</v>
      </c>
      <c r="M483" s="29">
        <v>7890</v>
      </c>
      <c r="N483" s="29">
        <v>7890</v>
      </c>
      <c r="O483" s="29">
        <v>7605</v>
      </c>
      <c r="P483" s="29">
        <v>7645</v>
      </c>
      <c r="Q483" s="29">
        <v>415</v>
      </c>
      <c r="R483" s="35">
        <v>5.74</v>
      </c>
      <c r="S483" s="29">
        <v>2.7299999999999998E-3</v>
      </c>
      <c r="T483" s="29">
        <v>0.20816960000000001</v>
      </c>
      <c r="U483" s="29">
        <v>72.627499999999998</v>
      </c>
    </row>
    <row r="484" spans="7:21">
      <c r="G484" s="32">
        <v>20231215</v>
      </c>
      <c r="H484" s="32" t="s">
        <v>3159</v>
      </c>
      <c r="I484" s="33" t="s">
        <v>3160</v>
      </c>
      <c r="J484" s="2" t="s">
        <v>3161</v>
      </c>
      <c r="K484" s="2" t="s">
        <v>1723</v>
      </c>
      <c r="L484" s="2" t="s">
        <v>1724</v>
      </c>
      <c r="M484" s="29">
        <v>8025</v>
      </c>
      <c r="N484" s="29">
        <v>8025</v>
      </c>
      <c r="O484" s="29">
        <v>7905</v>
      </c>
      <c r="P484" s="29">
        <v>7910</v>
      </c>
      <c r="Q484" s="29">
        <v>-35</v>
      </c>
      <c r="R484" s="35">
        <v>-0.44</v>
      </c>
      <c r="S484" s="29">
        <v>2.7290000000000001E-3</v>
      </c>
      <c r="T484" s="29">
        <v>0.21635265000000001</v>
      </c>
      <c r="U484" s="29">
        <v>251.6962</v>
      </c>
    </row>
    <row r="485" spans="7:21">
      <c r="G485" s="32">
        <v>20231215</v>
      </c>
      <c r="H485" s="32" t="s">
        <v>3162</v>
      </c>
      <c r="I485" s="33" t="s">
        <v>3163</v>
      </c>
      <c r="J485" s="2" t="s">
        <v>3164</v>
      </c>
      <c r="K485" s="2" t="s">
        <v>1723</v>
      </c>
      <c r="L485" s="2" t="s">
        <v>1724</v>
      </c>
      <c r="M485" s="29">
        <v>8605</v>
      </c>
      <c r="N485" s="29">
        <v>8680</v>
      </c>
      <c r="O485" s="29">
        <v>8590</v>
      </c>
      <c r="P485" s="29">
        <v>8615</v>
      </c>
      <c r="Q485" s="29">
        <v>60</v>
      </c>
      <c r="R485" s="35">
        <v>0.7</v>
      </c>
      <c r="S485" s="29">
        <v>2.7100000000000002E-3</v>
      </c>
      <c r="T485" s="29">
        <v>0.2335546</v>
      </c>
      <c r="U485" s="29">
        <v>25.844999999999999</v>
      </c>
    </row>
    <row r="486" spans="7:21">
      <c r="G486" s="32">
        <v>20231215</v>
      </c>
      <c r="H486" s="32" t="s">
        <v>3165</v>
      </c>
      <c r="I486" s="33" t="s">
        <v>3166</v>
      </c>
      <c r="J486" s="2" t="s">
        <v>3167</v>
      </c>
      <c r="K486" s="2" t="s">
        <v>1723</v>
      </c>
      <c r="L486" s="2" t="s">
        <v>1724</v>
      </c>
      <c r="M486" s="29">
        <v>8475</v>
      </c>
      <c r="N486" s="29">
        <v>8580</v>
      </c>
      <c r="O486" s="29">
        <v>8475</v>
      </c>
      <c r="P486" s="29">
        <v>8535</v>
      </c>
      <c r="Q486" s="29">
        <v>40</v>
      </c>
      <c r="R486" s="35">
        <v>0.47</v>
      </c>
      <c r="S486" s="29">
        <v>2.6909999999999998E-3</v>
      </c>
      <c r="T486" s="29">
        <v>0.22947835</v>
      </c>
      <c r="U486" s="29">
        <v>367.005</v>
      </c>
    </row>
    <row r="487" spans="7:21">
      <c r="G487" s="32">
        <v>20231215</v>
      </c>
      <c r="H487" s="32" t="s">
        <v>3168</v>
      </c>
      <c r="I487" s="33" t="s">
        <v>3169</v>
      </c>
      <c r="J487" s="2" t="s">
        <v>3170</v>
      </c>
      <c r="K487" s="2" t="s">
        <v>1723</v>
      </c>
      <c r="L487" s="2" t="s">
        <v>1724</v>
      </c>
      <c r="M487" s="29">
        <v>5770</v>
      </c>
      <c r="N487" s="29">
        <v>5775</v>
      </c>
      <c r="O487" s="29">
        <v>5680</v>
      </c>
      <c r="P487" s="29">
        <v>5735</v>
      </c>
      <c r="Q487" s="29">
        <v>-40</v>
      </c>
      <c r="R487" s="35">
        <v>-0.69</v>
      </c>
      <c r="S487" s="29">
        <v>2.6700000000000001E-3</v>
      </c>
      <c r="T487" s="29">
        <v>0.152837</v>
      </c>
      <c r="U487" s="29">
        <v>40.145000000000003</v>
      </c>
    </row>
    <row r="488" spans="7:21">
      <c r="G488" s="32">
        <v>20231215</v>
      </c>
      <c r="H488" s="32" t="s">
        <v>3171</v>
      </c>
      <c r="I488" s="33" t="s">
        <v>3172</v>
      </c>
      <c r="J488" s="2" t="s">
        <v>3173</v>
      </c>
      <c r="K488" s="2" t="s">
        <v>1723</v>
      </c>
      <c r="L488" s="2" t="s">
        <v>1724</v>
      </c>
      <c r="M488" s="29">
        <v>12845</v>
      </c>
      <c r="N488" s="29">
        <v>12895</v>
      </c>
      <c r="O488" s="29">
        <v>12845</v>
      </c>
      <c r="P488" s="29">
        <v>12890</v>
      </c>
      <c r="Q488" s="29">
        <v>175</v>
      </c>
      <c r="R488" s="35">
        <v>1.38</v>
      </c>
      <c r="S488" s="29">
        <v>2.6229999999999999E-3</v>
      </c>
      <c r="T488" s="29">
        <v>0.33753095</v>
      </c>
      <c r="U488" s="29">
        <v>154.68</v>
      </c>
    </row>
    <row r="489" spans="7:21">
      <c r="G489" s="32">
        <v>20231215</v>
      </c>
      <c r="H489" s="32" t="s">
        <v>3174</v>
      </c>
      <c r="I489" s="33" t="s">
        <v>3175</v>
      </c>
      <c r="J489" s="2" t="s">
        <v>3176</v>
      </c>
      <c r="K489" s="2" t="s">
        <v>1723</v>
      </c>
      <c r="L489" s="2" t="s">
        <v>1724</v>
      </c>
      <c r="M489" s="29">
        <v>6890</v>
      </c>
      <c r="N489" s="29">
        <v>6890</v>
      </c>
      <c r="O489" s="29">
        <v>6830</v>
      </c>
      <c r="P489" s="29">
        <v>6850</v>
      </c>
      <c r="Q489" s="29">
        <v>-15</v>
      </c>
      <c r="R489" s="35">
        <v>-0.22</v>
      </c>
      <c r="S489" s="29">
        <v>2.5969999999999999E-3</v>
      </c>
      <c r="T489" s="29">
        <v>0.17793885000000001</v>
      </c>
      <c r="U489" s="29">
        <v>37.674999999999997</v>
      </c>
    </row>
    <row r="490" spans="7:21">
      <c r="G490" s="32">
        <v>20231215</v>
      </c>
      <c r="H490" s="32" t="s">
        <v>3177</v>
      </c>
      <c r="I490" s="33" t="s">
        <v>3178</v>
      </c>
      <c r="J490" s="2" t="s">
        <v>3179</v>
      </c>
      <c r="K490" s="2" t="s">
        <v>1723</v>
      </c>
      <c r="L490" s="2" t="s">
        <v>1724</v>
      </c>
      <c r="M490" s="29">
        <v>50305</v>
      </c>
      <c r="N490" s="29">
        <v>50305</v>
      </c>
      <c r="O490" s="29">
        <v>50300</v>
      </c>
      <c r="P490" s="29">
        <v>50305</v>
      </c>
      <c r="Q490" s="29">
        <v>20</v>
      </c>
      <c r="R490" s="35">
        <v>0.04</v>
      </c>
      <c r="S490" s="29">
        <v>2.5140000000000002E-3</v>
      </c>
      <c r="T490" s="29">
        <v>1.2646673500000001</v>
      </c>
      <c r="U490" s="29">
        <v>4792.0542999999998</v>
      </c>
    </row>
    <row r="491" spans="7:21">
      <c r="G491" s="32">
        <v>20231215</v>
      </c>
      <c r="H491" s="32" t="s">
        <v>3180</v>
      </c>
      <c r="I491" s="33" t="s">
        <v>3181</v>
      </c>
      <c r="J491" s="2" t="s">
        <v>3182</v>
      </c>
      <c r="K491" s="2" t="s">
        <v>1723</v>
      </c>
      <c r="L491" s="2" t="s">
        <v>1724</v>
      </c>
      <c r="M491" s="29">
        <v>11525</v>
      </c>
      <c r="N491" s="29">
        <v>11525</v>
      </c>
      <c r="O491" s="29">
        <v>11400</v>
      </c>
      <c r="P491" s="29">
        <v>11460</v>
      </c>
      <c r="Q491" s="29">
        <v>10</v>
      </c>
      <c r="R491" s="35">
        <v>0.09</v>
      </c>
      <c r="S491" s="29">
        <v>2.506E-3</v>
      </c>
      <c r="T491" s="29">
        <v>0.28766449999999999</v>
      </c>
      <c r="U491" s="29">
        <v>119.184</v>
      </c>
    </row>
    <row r="492" spans="7:21">
      <c r="G492" s="32">
        <v>20231215</v>
      </c>
      <c r="H492" s="32" t="s">
        <v>3183</v>
      </c>
      <c r="I492" s="33" t="s">
        <v>3184</v>
      </c>
      <c r="J492" s="2" t="s">
        <v>3185</v>
      </c>
      <c r="K492" s="2" t="s">
        <v>1723</v>
      </c>
      <c r="L492" s="2" t="s">
        <v>1724</v>
      </c>
      <c r="M492" s="29">
        <v>10300</v>
      </c>
      <c r="N492" s="29">
        <v>10315</v>
      </c>
      <c r="O492" s="29">
        <v>10280</v>
      </c>
      <c r="P492" s="29">
        <v>10315</v>
      </c>
      <c r="Q492" s="29">
        <v>10</v>
      </c>
      <c r="R492" s="35">
        <v>0.1</v>
      </c>
      <c r="S492" s="29">
        <v>2.4780000000000002E-3</v>
      </c>
      <c r="T492" s="29">
        <v>0.25535970000000002</v>
      </c>
      <c r="U492" s="29">
        <v>737.52250000000004</v>
      </c>
    </row>
    <row r="493" spans="7:21">
      <c r="G493" s="32">
        <v>20231215</v>
      </c>
      <c r="H493" s="32" t="s">
        <v>3186</v>
      </c>
      <c r="I493" s="33" t="s">
        <v>3187</v>
      </c>
      <c r="J493" s="2" t="s">
        <v>3188</v>
      </c>
      <c r="K493" s="2" t="s">
        <v>1723</v>
      </c>
      <c r="L493" s="2" t="s">
        <v>1724</v>
      </c>
      <c r="M493" s="29">
        <v>9770</v>
      </c>
      <c r="N493" s="29">
        <v>9775</v>
      </c>
      <c r="O493" s="29">
        <v>9695</v>
      </c>
      <c r="P493" s="29">
        <v>9735</v>
      </c>
      <c r="Q493" s="29">
        <v>-200</v>
      </c>
      <c r="R493" s="35">
        <v>-2.0099999999999998</v>
      </c>
      <c r="S493" s="29">
        <v>2.4759999999999999E-3</v>
      </c>
      <c r="T493" s="29">
        <v>0.24137085</v>
      </c>
      <c r="U493" s="29">
        <v>97.35</v>
      </c>
    </row>
    <row r="494" spans="7:21">
      <c r="G494" s="32">
        <v>20231215</v>
      </c>
      <c r="H494" s="32" t="s">
        <v>3189</v>
      </c>
      <c r="I494" s="33" t="s">
        <v>3190</v>
      </c>
      <c r="J494" s="2" t="s">
        <v>3191</v>
      </c>
      <c r="K494" s="2" t="s">
        <v>1723</v>
      </c>
      <c r="L494" s="2" t="s">
        <v>1724</v>
      </c>
      <c r="M494" s="29">
        <v>13920</v>
      </c>
      <c r="N494" s="29">
        <v>13925</v>
      </c>
      <c r="O494" s="29">
        <v>13890</v>
      </c>
      <c r="P494" s="29">
        <v>13890</v>
      </c>
      <c r="Q494" s="29">
        <v>55</v>
      </c>
      <c r="R494" s="35">
        <v>0.4</v>
      </c>
      <c r="S494" s="29">
        <v>2.4680000000000001E-3</v>
      </c>
      <c r="T494" s="29">
        <v>0.34314260000000002</v>
      </c>
      <c r="U494" s="29">
        <v>55.56</v>
      </c>
    </row>
    <row r="495" spans="7:21">
      <c r="G495" s="32">
        <v>20231215</v>
      </c>
      <c r="H495" s="32" t="s">
        <v>3192</v>
      </c>
      <c r="I495" s="33" t="s">
        <v>3193</v>
      </c>
      <c r="J495" s="2" t="s">
        <v>3194</v>
      </c>
      <c r="K495" s="2" t="s">
        <v>1723</v>
      </c>
      <c r="L495" s="2" t="s">
        <v>1724</v>
      </c>
      <c r="M495" s="29">
        <v>8935</v>
      </c>
      <c r="N495" s="29">
        <v>8950</v>
      </c>
      <c r="O495" s="29">
        <v>8900</v>
      </c>
      <c r="P495" s="29">
        <v>8905</v>
      </c>
      <c r="Q495" s="29">
        <v>-40</v>
      </c>
      <c r="R495" s="35">
        <v>-0.45</v>
      </c>
      <c r="S495" s="29">
        <v>2.4399999999999999E-3</v>
      </c>
      <c r="T495" s="29">
        <v>0.21789695000000001</v>
      </c>
      <c r="U495" s="29">
        <v>71.239999999999995</v>
      </c>
    </row>
    <row r="496" spans="7:21">
      <c r="G496" s="32">
        <v>20231215</v>
      </c>
      <c r="H496" s="32" t="s">
        <v>3195</v>
      </c>
      <c r="I496" s="33" t="s">
        <v>3196</v>
      </c>
      <c r="J496" s="2" t="s">
        <v>3197</v>
      </c>
      <c r="K496" s="2" t="s">
        <v>1723</v>
      </c>
      <c r="L496" s="2" t="s">
        <v>1724</v>
      </c>
      <c r="M496" s="29">
        <v>14900</v>
      </c>
      <c r="N496" s="29">
        <v>14900</v>
      </c>
      <c r="O496" s="29">
        <v>14705</v>
      </c>
      <c r="P496" s="29">
        <v>14705</v>
      </c>
      <c r="Q496" s="29">
        <v>-205</v>
      </c>
      <c r="R496" s="35">
        <v>-1.37</v>
      </c>
      <c r="S496" s="29">
        <v>2.4350000000000001E-3</v>
      </c>
      <c r="T496" s="29">
        <v>0.36027025000000001</v>
      </c>
      <c r="U496" s="29">
        <v>58.82</v>
      </c>
    </row>
    <row r="497" spans="7:21">
      <c r="G497" s="32">
        <v>20231215</v>
      </c>
      <c r="H497" s="32" t="s">
        <v>3198</v>
      </c>
      <c r="I497" s="33" t="s">
        <v>3199</v>
      </c>
      <c r="J497" s="2" t="s">
        <v>3200</v>
      </c>
      <c r="K497" s="2" t="s">
        <v>1723</v>
      </c>
      <c r="L497" s="2" t="s">
        <v>1724</v>
      </c>
      <c r="M497" s="29">
        <v>21900</v>
      </c>
      <c r="N497" s="29">
        <v>22195</v>
      </c>
      <c r="O497" s="29">
        <v>21900</v>
      </c>
      <c r="P497" s="29">
        <v>22020</v>
      </c>
      <c r="Q497" s="29">
        <v>125</v>
      </c>
      <c r="R497" s="35">
        <v>0.56999999999999995</v>
      </c>
      <c r="S497" s="29">
        <v>2.4120000000000001E-3</v>
      </c>
      <c r="T497" s="29">
        <v>0.53324565000000002</v>
      </c>
      <c r="U497" s="29">
        <v>352.32</v>
      </c>
    </row>
    <row r="498" spans="7:21">
      <c r="G498" s="32">
        <v>20231215</v>
      </c>
      <c r="H498" s="32" t="s">
        <v>3201</v>
      </c>
      <c r="I498" s="33" t="s">
        <v>3202</v>
      </c>
      <c r="J498" s="2" t="s">
        <v>3203</v>
      </c>
      <c r="K498" s="2" t="s">
        <v>1723</v>
      </c>
      <c r="L498" s="2" t="s">
        <v>1724</v>
      </c>
      <c r="M498" s="29">
        <v>8865</v>
      </c>
      <c r="N498" s="29">
        <v>8865</v>
      </c>
      <c r="O498" s="29">
        <v>8725</v>
      </c>
      <c r="P498" s="29">
        <v>8755</v>
      </c>
      <c r="Q498" s="29">
        <v>-25</v>
      </c>
      <c r="R498" s="35">
        <v>-0.28000000000000003</v>
      </c>
      <c r="S498" s="29">
        <v>2.395E-3</v>
      </c>
      <c r="T498" s="29">
        <v>0.21012</v>
      </c>
      <c r="U498" s="29">
        <v>424.61750000000001</v>
      </c>
    </row>
    <row r="499" spans="7:21">
      <c r="G499" s="32">
        <v>20231215</v>
      </c>
      <c r="H499" s="32" t="s">
        <v>3204</v>
      </c>
      <c r="I499" s="33" t="s">
        <v>3205</v>
      </c>
      <c r="J499" s="2" t="s">
        <v>3206</v>
      </c>
      <c r="K499" s="2" t="s">
        <v>1723</v>
      </c>
      <c r="L499" s="2" t="s">
        <v>1724</v>
      </c>
      <c r="M499" s="29">
        <v>12480</v>
      </c>
      <c r="N499" s="29">
        <v>12620</v>
      </c>
      <c r="O499" s="29">
        <v>12480</v>
      </c>
      <c r="P499" s="29">
        <v>12620</v>
      </c>
      <c r="Q499" s="29">
        <v>170</v>
      </c>
      <c r="R499" s="35">
        <v>1.37</v>
      </c>
      <c r="S499" s="29">
        <v>2.3670000000000002E-3</v>
      </c>
      <c r="T499" s="29">
        <v>0.29724194999999998</v>
      </c>
      <c r="U499" s="29">
        <v>353.36</v>
      </c>
    </row>
    <row r="500" spans="7:21">
      <c r="G500" s="32">
        <v>20231215</v>
      </c>
      <c r="H500" s="32" t="s">
        <v>3207</v>
      </c>
      <c r="I500" s="33" t="s">
        <v>3208</v>
      </c>
      <c r="J500" s="2" t="s">
        <v>3209</v>
      </c>
      <c r="K500" s="2" t="s">
        <v>1723</v>
      </c>
      <c r="L500" s="2" t="s">
        <v>1724</v>
      </c>
      <c r="M500" s="29">
        <v>11705</v>
      </c>
      <c r="N500" s="29">
        <v>11740</v>
      </c>
      <c r="O500" s="29">
        <v>11625</v>
      </c>
      <c r="P500" s="29">
        <v>11655</v>
      </c>
      <c r="Q500" s="29">
        <v>10</v>
      </c>
      <c r="R500" s="35">
        <v>0.09</v>
      </c>
      <c r="S500" s="29">
        <v>2.3080000000000002E-3</v>
      </c>
      <c r="T500" s="29">
        <v>0.26916145000000002</v>
      </c>
      <c r="U500" s="29">
        <v>69.930000000000007</v>
      </c>
    </row>
    <row r="501" spans="7:21">
      <c r="G501" s="32">
        <v>20231215</v>
      </c>
      <c r="H501" s="32" t="s">
        <v>3210</v>
      </c>
      <c r="I501" s="33" t="s">
        <v>3211</v>
      </c>
      <c r="J501" s="2" t="s">
        <v>3212</v>
      </c>
      <c r="K501" s="2" t="s">
        <v>1723</v>
      </c>
      <c r="L501" s="2" t="s">
        <v>1724</v>
      </c>
      <c r="M501" s="29">
        <v>7175</v>
      </c>
      <c r="N501" s="29">
        <v>7230</v>
      </c>
      <c r="O501" s="29">
        <v>7160</v>
      </c>
      <c r="P501" s="29">
        <v>7225</v>
      </c>
      <c r="Q501" s="29">
        <v>185</v>
      </c>
      <c r="R501" s="35">
        <v>2.63</v>
      </c>
      <c r="S501" s="29">
        <v>2.3040000000000001E-3</v>
      </c>
      <c r="T501" s="29">
        <v>0.16578095000000001</v>
      </c>
      <c r="U501" s="29">
        <v>104.7625</v>
      </c>
    </row>
    <row r="502" spans="7:21">
      <c r="G502" s="32">
        <v>20231215</v>
      </c>
      <c r="H502" s="32" t="s">
        <v>3213</v>
      </c>
      <c r="I502" s="33" t="s">
        <v>3214</v>
      </c>
      <c r="J502" s="2" t="s">
        <v>3215</v>
      </c>
      <c r="K502" s="2" t="s">
        <v>1723</v>
      </c>
      <c r="L502" s="2" t="s">
        <v>1724</v>
      </c>
      <c r="M502" s="29">
        <v>10225</v>
      </c>
      <c r="N502" s="29">
        <v>10230</v>
      </c>
      <c r="O502" s="29">
        <v>10175</v>
      </c>
      <c r="P502" s="29">
        <v>10230</v>
      </c>
      <c r="Q502" s="29">
        <v>-35</v>
      </c>
      <c r="R502" s="35">
        <v>-0.34</v>
      </c>
      <c r="S502" s="29">
        <v>2.2390000000000001E-3</v>
      </c>
      <c r="T502" s="29">
        <v>0.22845494999999999</v>
      </c>
      <c r="U502" s="29">
        <v>148.33500000000001</v>
      </c>
    </row>
    <row r="503" spans="7:21">
      <c r="G503" s="32">
        <v>20231215</v>
      </c>
      <c r="H503" s="32" t="s">
        <v>3216</v>
      </c>
      <c r="I503" s="33" t="s">
        <v>3217</v>
      </c>
      <c r="J503" s="2" t="s">
        <v>3218</v>
      </c>
      <c r="K503" s="2" t="s">
        <v>1723</v>
      </c>
      <c r="L503" s="2" t="s">
        <v>1724</v>
      </c>
      <c r="M503" s="29">
        <v>7370</v>
      </c>
      <c r="N503" s="29">
        <v>7445</v>
      </c>
      <c r="O503" s="29">
        <v>7370</v>
      </c>
      <c r="P503" s="29">
        <v>7445</v>
      </c>
      <c r="Q503" s="29">
        <v>80</v>
      </c>
      <c r="R503" s="35">
        <v>1.0900000000000001</v>
      </c>
      <c r="S503" s="29">
        <v>2.2160000000000001E-3</v>
      </c>
      <c r="T503" s="29">
        <v>0.16393065000000001</v>
      </c>
      <c r="U503" s="29">
        <v>67.004999999999995</v>
      </c>
    </row>
    <row r="504" spans="7:21">
      <c r="G504" s="32">
        <v>20231215</v>
      </c>
      <c r="H504" s="32" t="s">
        <v>3219</v>
      </c>
      <c r="I504" s="33" t="s">
        <v>3220</v>
      </c>
      <c r="J504" s="2" t="s">
        <v>3221</v>
      </c>
      <c r="K504" s="2" t="s">
        <v>1723</v>
      </c>
      <c r="L504" s="2" t="s">
        <v>1724</v>
      </c>
      <c r="M504" s="29">
        <v>11340</v>
      </c>
      <c r="N504" s="29">
        <v>11340</v>
      </c>
      <c r="O504" s="29">
        <v>11235</v>
      </c>
      <c r="P504" s="29">
        <v>11335</v>
      </c>
      <c r="Q504" s="29">
        <v>60</v>
      </c>
      <c r="R504" s="35">
        <v>0.53</v>
      </c>
      <c r="S504" s="29">
        <v>2.2160000000000001E-3</v>
      </c>
      <c r="T504" s="29">
        <v>0.24898005000000001</v>
      </c>
      <c r="U504" s="29">
        <v>56.674999999999997</v>
      </c>
    </row>
    <row r="505" spans="7:21">
      <c r="G505" s="32">
        <v>20231215</v>
      </c>
      <c r="H505" s="32" t="s">
        <v>3222</v>
      </c>
      <c r="I505" s="33" t="s">
        <v>3223</v>
      </c>
      <c r="J505" s="2" t="s">
        <v>3224</v>
      </c>
      <c r="K505" s="2" t="s">
        <v>1723</v>
      </c>
      <c r="L505" s="2" t="s">
        <v>1724</v>
      </c>
      <c r="M505" s="29">
        <v>11500</v>
      </c>
      <c r="N505" s="29">
        <v>11530</v>
      </c>
      <c r="O505" s="29">
        <v>11480</v>
      </c>
      <c r="P505" s="29">
        <v>11530</v>
      </c>
      <c r="Q505" s="29">
        <v>30</v>
      </c>
      <c r="R505" s="35">
        <v>0.26</v>
      </c>
      <c r="S505" s="29">
        <v>2.1350000000000002E-3</v>
      </c>
      <c r="T505" s="29">
        <v>0.24550975</v>
      </c>
      <c r="U505" s="29">
        <v>57.65</v>
      </c>
    </row>
    <row r="506" spans="7:21">
      <c r="G506" s="32">
        <v>20231215</v>
      </c>
      <c r="H506" s="32" t="s">
        <v>3225</v>
      </c>
      <c r="I506" s="33" t="s">
        <v>3226</v>
      </c>
      <c r="J506" s="2" t="s">
        <v>3227</v>
      </c>
      <c r="K506" s="2" t="s">
        <v>1723</v>
      </c>
      <c r="L506" s="2" t="s">
        <v>1724</v>
      </c>
      <c r="M506" s="29">
        <v>103585</v>
      </c>
      <c r="N506" s="29">
        <v>103600</v>
      </c>
      <c r="O506" s="29">
        <v>103580</v>
      </c>
      <c r="P506" s="29">
        <v>103600</v>
      </c>
      <c r="Q506" s="29">
        <v>25</v>
      </c>
      <c r="R506" s="35">
        <v>0.02</v>
      </c>
      <c r="S506" s="29">
        <v>2.124E-3</v>
      </c>
      <c r="T506" s="29">
        <v>2.20028405</v>
      </c>
      <c r="U506" s="29">
        <v>1514.6320000000001</v>
      </c>
    </row>
    <row r="507" spans="7:21">
      <c r="G507" s="32">
        <v>20231215</v>
      </c>
      <c r="H507" s="32" t="s">
        <v>3228</v>
      </c>
      <c r="I507" s="33" t="s">
        <v>3229</v>
      </c>
      <c r="J507" s="2" t="s">
        <v>3230</v>
      </c>
      <c r="K507" s="2" t="s">
        <v>1723</v>
      </c>
      <c r="L507" s="2" t="s">
        <v>1724</v>
      </c>
      <c r="M507" s="29">
        <v>11085</v>
      </c>
      <c r="N507" s="29">
        <v>11155</v>
      </c>
      <c r="O507" s="29">
        <v>11085</v>
      </c>
      <c r="P507" s="29">
        <v>11090</v>
      </c>
      <c r="Q507" s="29">
        <v>35</v>
      </c>
      <c r="R507" s="35">
        <v>0.32</v>
      </c>
      <c r="S507" s="29">
        <v>2.1150000000000001E-3</v>
      </c>
      <c r="T507" s="29">
        <v>0.23555034999999999</v>
      </c>
      <c r="U507" s="29">
        <v>59.886000000000003</v>
      </c>
    </row>
    <row r="508" spans="7:21">
      <c r="G508" s="32">
        <v>20231215</v>
      </c>
      <c r="H508" s="32" t="s">
        <v>3231</v>
      </c>
      <c r="I508" s="33" t="s">
        <v>3232</v>
      </c>
      <c r="J508" s="2" t="s">
        <v>3233</v>
      </c>
      <c r="K508" s="2" t="s">
        <v>1723</v>
      </c>
      <c r="L508" s="2" t="s">
        <v>1724</v>
      </c>
      <c r="M508" s="29">
        <v>5445</v>
      </c>
      <c r="N508" s="29">
        <v>5525</v>
      </c>
      <c r="O508" s="29">
        <v>5445</v>
      </c>
      <c r="P508" s="29">
        <v>5520</v>
      </c>
      <c r="Q508" s="29">
        <v>155</v>
      </c>
      <c r="R508" s="35">
        <v>2.89</v>
      </c>
      <c r="S508" s="29">
        <v>2.1129999999999999E-3</v>
      </c>
      <c r="T508" s="29">
        <v>0.11634745000000001</v>
      </c>
      <c r="U508" s="29">
        <v>33.119999999999997</v>
      </c>
    </row>
    <row r="509" spans="7:21">
      <c r="G509" s="32">
        <v>20231215</v>
      </c>
      <c r="H509" s="32" t="s">
        <v>3234</v>
      </c>
      <c r="I509" s="33" t="s">
        <v>3235</v>
      </c>
      <c r="J509" s="2" t="s">
        <v>3236</v>
      </c>
      <c r="K509" s="2" t="s">
        <v>1723</v>
      </c>
      <c r="L509" s="2" t="s">
        <v>1724</v>
      </c>
      <c r="M509" s="29">
        <v>11265</v>
      </c>
      <c r="N509" s="29">
        <v>11265</v>
      </c>
      <c r="O509" s="29">
        <v>11135</v>
      </c>
      <c r="P509" s="29">
        <v>11255</v>
      </c>
      <c r="Q509" s="29">
        <v>20</v>
      </c>
      <c r="R509" s="35">
        <v>0.18</v>
      </c>
      <c r="S509" s="29">
        <v>2.0860000000000002E-3</v>
      </c>
      <c r="T509" s="29">
        <v>0.23413320000000001</v>
      </c>
      <c r="U509" s="29">
        <v>33.765000000000001</v>
      </c>
    </row>
    <row r="510" spans="7:21">
      <c r="G510" s="32">
        <v>20231215</v>
      </c>
      <c r="H510" s="32" t="s">
        <v>3237</v>
      </c>
      <c r="I510" s="33" t="s">
        <v>3238</v>
      </c>
      <c r="J510" s="2" t="s">
        <v>3239</v>
      </c>
      <c r="K510" s="2" t="s">
        <v>1723</v>
      </c>
      <c r="L510" s="2" t="s">
        <v>1724</v>
      </c>
      <c r="M510" s="29">
        <v>11610</v>
      </c>
      <c r="N510" s="29">
        <v>11610</v>
      </c>
      <c r="O510" s="29">
        <v>11330</v>
      </c>
      <c r="P510" s="29">
        <v>11440</v>
      </c>
      <c r="Q510" s="29">
        <v>-115</v>
      </c>
      <c r="R510" s="35">
        <v>-1</v>
      </c>
      <c r="S510" s="29">
        <v>2.0830000000000002E-3</v>
      </c>
      <c r="T510" s="29">
        <v>0.23754824999999999</v>
      </c>
      <c r="U510" s="29">
        <v>91.52</v>
      </c>
    </row>
    <row r="511" spans="7:21">
      <c r="G511" s="32">
        <v>20231215</v>
      </c>
      <c r="H511" s="32" t="s">
        <v>3240</v>
      </c>
      <c r="I511" s="33" t="s">
        <v>3241</v>
      </c>
      <c r="J511" s="2" t="s">
        <v>3242</v>
      </c>
      <c r="K511" s="2" t="s">
        <v>1723</v>
      </c>
      <c r="L511" s="2" t="s">
        <v>1724</v>
      </c>
      <c r="M511" s="29">
        <v>11505</v>
      </c>
      <c r="N511" s="29">
        <v>11540</v>
      </c>
      <c r="O511" s="29">
        <v>11425</v>
      </c>
      <c r="P511" s="29">
        <v>11500</v>
      </c>
      <c r="Q511" s="29">
        <v>0</v>
      </c>
      <c r="R511" s="35">
        <v>0</v>
      </c>
      <c r="S511" s="29">
        <v>2.055E-3</v>
      </c>
      <c r="T511" s="29">
        <v>0.23677295000000001</v>
      </c>
      <c r="U511" s="29">
        <v>24.15</v>
      </c>
    </row>
    <row r="512" spans="7:21">
      <c r="G512" s="32">
        <v>20231215</v>
      </c>
      <c r="H512" s="32" t="s">
        <v>3243</v>
      </c>
      <c r="I512" s="33" t="s">
        <v>3244</v>
      </c>
      <c r="J512" s="2" t="s">
        <v>3245</v>
      </c>
      <c r="K512" s="2" t="s">
        <v>1723</v>
      </c>
      <c r="L512" s="2" t="s">
        <v>1724</v>
      </c>
      <c r="M512" s="29">
        <v>11250</v>
      </c>
      <c r="N512" s="29">
        <v>11275</v>
      </c>
      <c r="O512" s="29">
        <v>11225</v>
      </c>
      <c r="P512" s="29">
        <v>11245</v>
      </c>
      <c r="Q512" s="29">
        <v>-5</v>
      </c>
      <c r="R512" s="35">
        <v>-0.04</v>
      </c>
      <c r="S512" s="29">
        <v>2.0470000000000002E-3</v>
      </c>
      <c r="T512" s="29">
        <v>0.2300973</v>
      </c>
      <c r="U512" s="29">
        <v>28.112500000000001</v>
      </c>
    </row>
    <row r="513" spans="7:21">
      <c r="G513" s="32">
        <v>20231215</v>
      </c>
      <c r="H513" s="32" t="s">
        <v>3246</v>
      </c>
      <c r="I513" s="33" t="s">
        <v>3247</v>
      </c>
      <c r="J513" s="2" t="s">
        <v>3248</v>
      </c>
      <c r="K513" s="2" t="s">
        <v>1723</v>
      </c>
      <c r="L513" s="2" t="s">
        <v>1724</v>
      </c>
      <c r="M513" s="29">
        <v>104850</v>
      </c>
      <c r="N513" s="29">
        <v>104850</v>
      </c>
      <c r="O513" s="29">
        <v>104835</v>
      </c>
      <c r="P513" s="29">
        <v>104845</v>
      </c>
      <c r="Q513" s="29">
        <v>30</v>
      </c>
      <c r="R513" s="35">
        <v>0.03</v>
      </c>
      <c r="S513" s="29">
        <v>2.0179999999999998E-3</v>
      </c>
      <c r="T513" s="29">
        <v>2.1157335499999999</v>
      </c>
      <c r="U513" s="29">
        <v>525.27345000000003</v>
      </c>
    </row>
    <row r="514" spans="7:21">
      <c r="G514" s="32">
        <v>20231215</v>
      </c>
      <c r="H514" s="32" t="s">
        <v>3249</v>
      </c>
      <c r="I514" s="33" t="s">
        <v>3250</v>
      </c>
      <c r="J514" s="2" t="s">
        <v>3251</v>
      </c>
      <c r="K514" s="2" t="s">
        <v>1723</v>
      </c>
      <c r="L514" s="2" t="s">
        <v>1724</v>
      </c>
      <c r="M514" s="29">
        <v>26480</v>
      </c>
      <c r="N514" s="29">
        <v>26570</v>
      </c>
      <c r="O514" s="29">
        <v>26395</v>
      </c>
      <c r="P514" s="29">
        <v>26395</v>
      </c>
      <c r="Q514" s="29">
        <v>115</v>
      </c>
      <c r="R514" s="35">
        <v>0.44</v>
      </c>
      <c r="S514" s="29">
        <v>1.9780000000000002E-3</v>
      </c>
      <c r="T514" s="29">
        <v>0.52401735000000005</v>
      </c>
      <c r="U514" s="29">
        <v>1108.5899999999999</v>
      </c>
    </row>
    <row r="515" spans="7:21">
      <c r="G515" s="32">
        <v>20231215</v>
      </c>
      <c r="H515" s="32" t="s">
        <v>3252</v>
      </c>
      <c r="I515" s="33" t="s">
        <v>3253</v>
      </c>
      <c r="J515" s="2" t="s">
        <v>3254</v>
      </c>
      <c r="K515" s="2" t="s">
        <v>1723</v>
      </c>
      <c r="L515" s="2" t="s">
        <v>1724</v>
      </c>
      <c r="M515" s="29">
        <v>10010</v>
      </c>
      <c r="N515" s="29">
        <v>10295</v>
      </c>
      <c r="O515" s="29">
        <v>10010</v>
      </c>
      <c r="P515" s="29">
        <v>10280</v>
      </c>
      <c r="Q515" s="29">
        <v>270</v>
      </c>
      <c r="R515" s="35">
        <v>2.7</v>
      </c>
      <c r="S515" s="29">
        <v>1.9689999999999998E-3</v>
      </c>
      <c r="T515" s="29">
        <v>0.20172845</v>
      </c>
      <c r="U515" s="29">
        <v>55.512</v>
      </c>
    </row>
    <row r="516" spans="7:21">
      <c r="G516" s="32">
        <v>20231215</v>
      </c>
      <c r="H516" s="32" t="s">
        <v>3255</v>
      </c>
      <c r="I516" s="33" t="s">
        <v>3256</v>
      </c>
      <c r="J516" s="2" t="s">
        <v>3257</v>
      </c>
      <c r="K516" s="2" t="s">
        <v>1723</v>
      </c>
      <c r="L516" s="2" t="s">
        <v>1724</v>
      </c>
      <c r="M516" s="29">
        <v>20120</v>
      </c>
      <c r="N516" s="29">
        <v>20180</v>
      </c>
      <c r="O516" s="29">
        <v>20100</v>
      </c>
      <c r="P516" s="29">
        <v>20180</v>
      </c>
      <c r="Q516" s="29">
        <v>60</v>
      </c>
      <c r="R516" s="35">
        <v>0.3</v>
      </c>
      <c r="S516" s="29">
        <v>1.954E-3</v>
      </c>
      <c r="T516" s="29">
        <v>0.39327764999999998</v>
      </c>
      <c r="U516" s="29">
        <v>310.77199999999999</v>
      </c>
    </row>
    <row r="517" spans="7:21">
      <c r="G517" s="32">
        <v>20231215</v>
      </c>
      <c r="H517" s="32" t="s">
        <v>3258</v>
      </c>
      <c r="I517" s="33" t="s">
        <v>3259</v>
      </c>
      <c r="J517" s="2" t="s">
        <v>3260</v>
      </c>
      <c r="K517" s="2" t="s">
        <v>1723</v>
      </c>
      <c r="L517" s="2" t="s">
        <v>1724</v>
      </c>
      <c r="M517" s="29">
        <v>11910</v>
      </c>
      <c r="N517" s="29">
        <v>11910</v>
      </c>
      <c r="O517" s="29">
        <v>11715</v>
      </c>
      <c r="P517" s="29">
        <v>11760</v>
      </c>
      <c r="Q517" s="29">
        <v>-150</v>
      </c>
      <c r="R517" s="35">
        <v>-1.26</v>
      </c>
      <c r="S517" s="29">
        <v>1.9419999999999999E-3</v>
      </c>
      <c r="T517" s="29">
        <v>0.22954844999999999</v>
      </c>
      <c r="U517" s="29">
        <v>58.8</v>
      </c>
    </row>
    <row r="518" spans="7:21">
      <c r="G518" s="32">
        <v>20231215</v>
      </c>
      <c r="H518" s="32" t="s">
        <v>3261</v>
      </c>
      <c r="I518" s="33" t="s">
        <v>3262</v>
      </c>
      <c r="J518" s="2" t="s">
        <v>3263</v>
      </c>
      <c r="K518" s="2" t="s">
        <v>1723</v>
      </c>
      <c r="L518" s="2" t="s">
        <v>1724</v>
      </c>
      <c r="M518" s="29">
        <v>12885</v>
      </c>
      <c r="N518" s="29">
        <v>12920</v>
      </c>
      <c r="O518" s="29">
        <v>12840</v>
      </c>
      <c r="P518" s="29">
        <v>12875</v>
      </c>
      <c r="Q518" s="29">
        <v>-20</v>
      </c>
      <c r="R518" s="35">
        <v>-0.16</v>
      </c>
      <c r="S518" s="29">
        <v>1.923E-3</v>
      </c>
      <c r="T518" s="29">
        <v>0.24755165000000001</v>
      </c>
      <c r="U518" s="29">
        <v>77.25</v>
      </c>
    </row>
    <row r="519" spans="7:21">
      <c r="G519" s="32">
        <v>20231215</v>
      </c>
      <c r="H519" s="32" t="s">
        <v>3264</v>
      </c>
      <c r="I519" s="33" t="s">
        <v>3265</v>
      </c>
      <c r="J519" s="2" t="s">
        <v>3266</v>
      </c>
      <c r="K519" s="2" t="s">
        <v>1723</v>
      </c>
      <c r="L519" s="2" t="s">
        <v>1724</v>
      </c>
      <c r="M519" s="29">
        <v>11495</v>
      </c>
      <c r="N519" s="29">
        <v>11525</v>
      </c>
      <c r="O519" s="29">
        <v>11475</v>
      </c>
      <c r="P519" s="29">
        <v>11525</v>
      </c>
      <c r="Q519" s="29">
        <v>-10</v>
      </c>
      <c r="R519" s="35">
        <v>-0.09</v>
      </c>
      <c r="S519" s="29">
        <v>1.882E-3</v>
      </c>
      <c r="T519" s="29">
        <v>0.21653525000000001</v>
      </c>
      <c r="U519" s="29">
        <v>138.30000000000001</v>
      </c>
    </row>
    <row r="520" spans="7:21">
      <c r="G520" s="32">
        <v>20231215</v>
      </c>
      <c r="H520" s="32" t="s">
        <v>3267</v>
      </c>
      <c r="I520" s="33" t="s">
        <v>3268</v>
      </c>
      <c r="J520" s="2" t="s">
        <v>3269</v>
      </c>
      <c r="K520" s="2" t="s">
        <v>1723</v>
      </c>
      <c r="L520" s="2" t="s">
        <v>1724</v>
      </c>
      <c r="M520" s="29">
        <v>9725</v>
      </c>
      <c r="N520" s="29">
        <v>9740</v>
      </c>
      <c r="O520" s="29">
        <v>9685</v>
      </c>
      <c r="P520" s="29">
        <v>9710</v>
      </c>
      <c r="Q520" s="29">
        <v>25</v>
      </c>
      <c r="R520" s="35">
        <v>0.26</v>
      </c>
      <c r="S520" s="29">
        <v>1.8600000000000001E-3</v>
      </c>
      <c r="T520" s="29">
        <v>0.18036584999999999</v>
      </c>
      <c r="U520" s="29">
        <v>77.680000000000007</v>
      </c>
    </row>
    <row r="521" spans="7:21">
      <c r="G521" s="32">
        <v>20231215</v>
      </c>
      <c r="H521" s="32" t="s">
        <v>3270</v>
      </c>
      <c r="I521" s="33" t="s">
        <v>3271</v>
      </c>
      <c r="J521" s="2" t="s">
        <v>3272</v>
      </c>
      <c r="K521" s="2" t="s">
        <v>1723</v>
      </c>
      <c r="L521" s="2" t="s">
        <v>1724</v>
      </c>
      <c r="M521" s="29">
        <v>11500</v>
      </c>
      <c r="N521" s="29">
        <v>11630</v>
      </c>
      <c r="O521" s="29">
        <v>11500</v>
      </c>
      <c r="P521" s="29">
        <v>11570</v>
      </c>
      <c r="Q521" s="29">
        <v>100</v>
      </c>
      <c r="R521" s="35">
        <v>0.87</v>
      </c>
      <c r="S521" s="29">
        <v>1.8240000000000001E-3</v>
      </c>
      <c r="T521" s="29">
        <v>0.21142040000000001</v>
      </c>
      <c r="U521" s="29">
        <v>4651.1400000000003</v>
      </c>
    </row>
    <row r="522" spans="7:21">
      <c r="G522" s="32">
        <v>20231215</v>
      </c>
      <c r="H522" s="32" t="s">
        <v>3273</v>
      </c>
      <c r="I522" s="33" t="s">
        <v>3274</v>
      </c>
      <c r="J522" s="2" t="s">
        <v>3275</v>
      </c>
      <c r="K522" s="2" t="s">
        <v>1723</v>
      </c>
      <c r="L522" s="2" t="s">
        <v>1724</v>
      </c>
      <c r="M522" s="29">
        <v>11200</v>
      </c>
      <c r="N522" s="29">
        <v>11210</v>
      </c>
      <c r="O522" s="29">
        <v>11165</v>
      </c>
      <c r="P522" s="29">
        <v>11210</v>
      </c>
      <c r="Q522" s="29">
        <v>30</v>
      </c>
      <c r="R522" s="35">
        <v>0.27</v>
      </c>
      <c r="S522" s="29">
        <v>1.7830000000000001E-3</v>
      </c>
      <c r="T522" s="29">
        <v>0.19962845000000001</v>
      </c>
      <c r="U522" s="29">
        <v>134.52000000000001</v>
      </c>
    </row>
    <row r="523" spans="7:21">
      <c r="G523" s="32">
        <v>20231215</v>
      </c>
      <c r="H523" s="32" t="s">
        <v>3276</v>
      </c>
      <c r="I523" s="33" t="s">
        <v>3277</v>
      </c>
      <c r="J523" s="2" t="s">
        <v>3278</v>
      </c>
      <c r="K523" s="2" t="s">
        <v>1723</v>
      </c>
      <c r="L523" s="2" t="s">
        <v>1724</v>
      </c>
      <c r="M523" s="29">
        <v>9010</v>
      </c>
      <c r="N523" s="29">
        <v>9055</v>
      </c>
      <c r="O523" s="29">
        <v>8950</v>
      </c>
      <c r="P523" s="29">
        <v>8985</v>
      </c>
      <c r="Q523" s="29">
        <v>-25</v>
      </c>
      <c r="R523" s="35">
        <v>-0.28000000000000003</v>
      </c>
      <c r="S523" s="29">
        <v>1.7520000000000001E-3</v>
      </c>
      <c r="T523" s="29">
        <v>0.15747130000000001</v>
      </c>
      <c r="U523" s="29">
        <v>67.387500000000003</v>
      </c>
    </row>
    <row r="524" spans="7:21">
      <c r="G524" s="32">
        <v>20231215</v>
      </c>
      <c r="H524" s="32" t="s">
        <v>3279</v>
      </c>
      <c r="I524" s="33" t="s">
        <v>3280</v>
      </c>
      <c r="J524" s="2" t="s">
        <v>3281</v>
      </c>
      <c r="K524" s="2" t="s">
        <v>1723</v>
      </c>
      <c r="L524" s="2" t="s">
        <v>1724</v>
      </c>
      <c r="M524" s="29">
        <v>8515</v>
      </c>
      <c r="N524" s="29">
        <v>8590</v>
      </c>
      <c r="O524" s="29">
        <v>8515</v>
      </c>
      <c r="P524" s="29">
        <v>8550</v>
      </c>
      <c r="Q524" s="29">
        <v>65</v>
      </c>
      <c r="R524" s="35">
        <v>0.77</v>
      </c>
      <c r="S524" s="29">
        <v>1.6689999999999999E-3</v>
      </c>
      <c r="T524" s="29">
        <v>0.14287195</v>
      </c>
      <c r="U524" s="29">
        <v>162.44999999999999</v>
      </c>
    </row>
    <row r="525" spans="7:21">
      <c r="G525" s="32">
        <v>20231215</v>
      </c>
      <c r="H525" s="32" t="s">
        <v>3282</v>
      </c>
      <c r="I525" s="33" t="s">
        <v>3283</v>
      </c>
      <c r="J525" s="2" t="s">
        <v>3284</v>
      </c>
      <c r="K525" s="2" t="s">
        <v>1723</v>
      </c>
      <c r="L525" s="2" t="s">
        <v>1724</v>
      </c>
      <c r="M525" s="29">
        <v>11675</v>
      </c>
      <c r="N525" s="29">
        <v>11675</v>
      </c>
      <c r="O525" s="29">
        <v>11650</v>
      </c>
      <c r="P525" s="29">
        <v>11660</v>
      </c>
      <c r="Q525" s="29">
        <v>15</v>
      </c>
      <c r="R525" s="35">
        <v>0.13</v>
      </c>
      <c r="S525" s="29">
        <v>1.6570000000000001E-3</v>
      </c>
      <c r="T525" s="29">
        <v>0.19333405000000001</v>
      </c>
      <c r="U525" s="29">
        <v>139.91999999999999</v>
      </c>
    </row>
    <row r="526" spans="7:21">
      <c r="G526" s="32">
        <v>20231215</v>
      </c>
      <c r="H526" s="32" t="s">
        <v>3285</v>
      </c>
      <c r="I526" s="33" t="s">
        <v>3286</v>
      </c>
      <c r="J526" s="2" t="s">
        <v>3287</v>
      </c>
      <c r="K526" s="2" t="s">
        <v>1723</v>
      </c>
      <c r="L526" s="2" t="s">
        <v>1724</v>
      </c>
      <c r="M526" s="29">
        <v>4295</v>
      </c>
      <c r="N526" s="29">
        <v>4335</v>
      </c>
      <c r="O526" s="29">
        <v>4295</v>
      </c>
      <c r="P526" s="29">
        <v>4305</v>
      </c>
      <c r="Q526" s="29">
        <v>10</v>
      </c>
      <c r="R526" s="35">
        <v>0.23</v>
      </c>
      <c r="S526" s="29">
        <v>1.647E-3</v>
      </c>
      <c r="T526" s="29">
        <v>7.1209900000000007E-2</v>
      </c>
      <c r="U526" s="29">
        <v>49.076999999999998</v>
      </c>
    </row>
    <row r="527" spans="7:21">
      <c r="G527" s="32">
        <v>20231215</v>
      </c>
      <c r="H527" s="32" t="s">
        <v>3288</v>
      </c>
      <c r="I527" s="33" t="s">
        <v>3289</v>
      </c>
      <c r="J527" s="2" t="s">
        <v>3290</v>
      </c>
      <c r="K527" s="2" t="s">
        <v>1723</v>
      </c>
      <c r="L527" s="2" t="s">
        <v>1724</v>
      </c>
      <c r="M527" s="29">
        <v>6960</v>
      </c>
      <c r="N527" s="29">
        <v>7080</v>
      </c>
      <c r="O527" s="29">
        <v>6960</v>
      </c>
      <c r="P527" s="29">
        <v>7030</v>
      </c>
      <c r="Q527" s="29">
        <v>230</v>
      </c>
      <c r="R527" s="35">
        <v>3.38</v>
      </c>
      <c r="S527" s="29">
        <v>1.6230000000000001E-3</v>
      </c>
      <c r="T527" s="29">
        <v>0.1132976</v>
      </c>
      <c r="U527" s="29">
        <v>77.33</v>
      </c>
    </row>
    <row r="528" spans="7:21">
      <c r="G528" s="32">
        <v>20231215</v>
      </c>
      <c r="H528" s="32" t="s">
        <v>3291</v>
      </c>
      <c r="I528" s="33" t="s">
        <v>3292</v>
      </c>
      <c r="J528" s="2" t="s">
        <v>3293</v>
      </c>
      <c r="K528" s="2" t="s">
        <v>1723</v>
      </c>
      <c r="L528" s="2" t="s">
        <v>1724</v>
      </c>
      <c r="M528" s="29">
        <v>5885</v>
      </c>
      <c r="N528" s="29">
        <v>5970</v>
      </c>
      <c r="O528" s="29">
        <v>5800</v>
      </c>
      <c r="P528" s="29">
        <v>5950</v>
      </c>
      <c r="Q528" s="29">
        <v>-650</v>
      </c>
      <c r="R528" s="35">
        <v>-9.85</v>
      </c>
      <c r="S528" s="29">
        <v>1.621E-3</v>
      </c>
      <c r="T528" s="29">
        <v>9.6130900000000005E-2</v>
      </c>
      <c r="U528" s="29">
        <v>29.75</v>
      </c>
    </row>
    <row r="529" spans="7:21">
      <c r="G529" s="32">
        <v>20231215</v>
      </c>
      <c r="H529" s="32" t="s">
        <v>3294</v>
      </c>
      <c r="I529" s="33" t="s">
        <v>3295</v>
      </c>
      <c r="J529" s="2" t="s">
        <v>3296</v>
      </c>
      <c r="K529" s="2" t="s">
        <v>1723</v>
      </c>
      <c r="L529" s="2" t="s">
        <v>1724</v>
      </c>
      <c r="M529" s="29">
        <v>8940</v>
      </c>
      <c r="N529" s="29">
        <v>8965</v>
      </c>
      <c r="O529" s="29">
        <v>8920</v>
      </c>
      <c r="P529" s="29">
        <v>8920</v>
      </c>
      <c r="Q529" s="29">
        <v>45</v>
      </c>
      <c r="R529" s="35">
        <v>0.51</v>
      </c>
      <c r="S529" s="29">
        <v>1.583E-3</v>
      </c>
      <c r="T529" s="29">
        <v>0.14141245</v>
      </c>
      <c r="U529" s="29">
        <v>89.2</v>
      </c>
    </row>
    <row r="530" spans="7:21">
      <c r="G530" s="32">
        <v>20231215</v>
      </c>
      <c r="H530" s="32" t="s">
        <v>3297</v>
      </c>
      <c r="I530" s="33" t="s">
        <v>3298</v>
      </c>
      <c r="J530" s="2" t="s">
        <v>3299</v>
      </c>
      <c r="K530" s="2" t="s">
        <v>1723</v>
      </c>
      <c r="L530" s="2" t="s">
        <v>1724</v>
      </c>
      <c r="M530" s="29">
        <v>12215</v>
      </c>
      <c r="N530" s="29">
        <v>12250</v>
      </c>
      <c r="O530" s="29">
        <v>12200</v>
      </c>
      <c r="P530" s="29">
        <v>12250</v>
      </c>
      <c r="Q530" s="29">
        <v>10</v>
      </c>
      <c r="R530" s="35">
        <v>0.08</v>
      </c>
      <c r="S530" s="29">
        <v>1.58E-3</v>
      </c>
      <c r="T530" s="29">
        <v>0.19309765000000001</v>
      </c>
      <c r="U530" s="29">
        <v>134.75</v>
      </c>
    </row>
    <row r="531" spans="7:21">
      <c r="G531" s="32">
        <v>20231215</v>
      </c>
      <c r="H531" s="32" t="s">
        <v>3300</v>
      </c>
      <c r="I531" s="33" t="s">
        <v>3301</v>
      </c>
      <c r="J531" s="2" t="s">
        <v>3302</v>
      </c>
      <c r="K531" s="2" t="s">
        <v>1723</v>
      </c>
      <c r="L531" s="2" t="s">
        <v>1724</v>
      </c>
      <c r="M531" s="29">
        <v>14965</v>
      </c>
      <c r="N531" s="29">
        <v>15100</v>
      </c>
      <c r="O531" s="29">
        <v>14965</v>
      </c>
      <c r="P531" s="29">
        <v>15085</v>
      </c>
      <c r="Q531" s="29">
        <v>380</v>
      </c>
      <c r="R531" s="35">
        <v>2.58</v>
      </c>
      <c r="S531" s="29">
        <v>1.5690000000000001E-3</v>
      </c>
      <c r="T531" s="29">
        <v>0.2367081</v>
      </c>
      <c r="U531" s="29">
        <v>120.68</v>
      </c>
    </row>
    <row r="532" spans="7:21">
      <c r="G532" s="32">
        <v>20231215</v>
      </c>
      <c r="H532" s="32" t="s">
        <v>3303</v>
      </c>
      <c r="I532" s="33" t="s">
        <v>3304</v>
      </c>
      <c r="J532" s="2" t="s">
        <v>3305</v>
      </c>
      <c r="K532" s="2" t="s">
        <v>1723</v>
      </c>
      <c r="L532" s="2" t="s">
        <v>1724</v>
      </c>
      <c r="M532" s="29">
        <v>11970</v>
      </c>
      <c r="N532" s="29">
        <v>12115</v>
      </c>
      <c r="O532" s="29">
        <v>11970</v>
      </c>
      <c r="P532" s="29">
        <v>12000</v>
      </c>
      <c r="Q532" s="29">
        <v>190</v>
      </c>
      <c r="R532" s="35">
        <v>1.61</v>
      </c>
      <c r="S532" s="29">
        <v>1.5399999999999999E-3</v>
      </c>
      <c r="T532" s="29">
        <v>0.18576195000000001</v>
      </c>
      <c r="U532" s="29">
        <v>198</v>
      </c>
    </row>
    <row r="533" spans="7:21">
      <c r="G533" s="32">
        <v>20231215</v>
      </c>
      <c r="H533" s="32" t="s">
        <v>3306</v>
      </c>
      <c r="I533" s="33" t="s">
        <v>3307</v>
      </c>
      <c r="J533" s="2" t="s">
        <v>3308</v>
      </c>
      <c r="K533" s="2" t="s">
        <v>1723</v>
      </c>
      <c r="L533" s="2" t="s">
        <v>1724</v>
      </c>
      <c r="M533" s="29">
        <v>16275</v>
      </c>
      <c r="N533" s="29">
        <v>16355</v>
      </c>
      <c r="O533" s="29">
        <v>16205</v>
      </c>
      <c r="P533" s="29">
        <v>16225</v>
      </c>
      <c r="Q533" s="29">
        <v>95</v>
      </c>
      <c r="R533" s="35">
        <v>0.59</v>
      </c>
      <c r="S533" s="29">
        <v>1.536E-3</v>
      </c>
      <c r="T533" s="29">
        <v>0.24960125</v>
      </c>
      <c r="U533" s="29">
        <v>227.15</v>
      </c>
    </row>
    <row r="534" spans="7:21">
      <c r="G534" s="32">
        <v>20231215</v>
      </c>
      <c r="H534" s="32" t="s">
        <v>3309</v>
      </c>
      <c r="I534" s="33" t="s">
        <v>3310</v>
      </c>
      <c r="J534" s="2" t="s">
        <v>3311</v>
      </c>
      <c r="K534" s="2" t="s">
        <v>1723</v>
      </c>
      <c r="L534" s="2" t="s">
        <v>1724</v>
      </c>
      <c r="M534" s="29">
        <v>12385</v>
      </c>
      <c r="N534" s="29">
        <v>12420</v>
      </c>
      <c r="O534" s="29">
        <v>12335</v>
      </c>
      <c r="P534" s="29">
        <v>12335</v>
      </c>
      <c r="Q534" s="29">
        <v>50</v>
      </c>
      <c r="R534" s="35">
        <v>0.41</v>
      </c>
      <c r="S534" s="29">
        <v>1.518E-3</v>
      </c>
      <c r="T534" s="29">
        <v>0.18812435</v>
      </c>
      <c r="U534" s="29">
        <v>61.674999999999997</v>
      </c>
    </row>
    <row r="535" spans="7:21">
      <c r="G535" s="32">
        <v>20231215</v>
      </c>
      <c r="H535" s="32" t="s">
        <v>3312</v>
      </c>
      <c r="I535" s="33" t="s">
        <v>3313</v>
      </c>
      <c r="J535" s="2" t="s">
        <v>3314</v>
      </c>
      <c r="K535" s="2" t="s">
        <v>1723</v>
      </c>
      <c r="L535" s="2" t="s">
        <v>1724</v>
      </c>
      <c r="M535" s="29">
        <v>107390</v>
      </c>
      <c r="N535" s="29">
        <v>107405</v>
      </c>
      <c r="O535" s="29">
        <v>107385</v>
      </c>
      <c r="P535" s="29">
        <v>107390</v>
      </c>
      <c r="Q535" s="29">
        <v>100</v>
      </c>
      <c r="R535" s="35">
        <v>0.09</v>
      </c>
      <c r="S535" s="29">
        <v>1.511E-3</v>
      </c>
      <c r="T535" s="29">
        <v>1.6226685000000001</v>
      </c>
      <c r="U535" s="29">
        <v>1761.1959999999999</v>
      </c>
    </row>
    <row r="536" spans="7:21">
      <c r="G536" s="32">
        <v>20231215</v>
      </c>
      <c r="H536" s="32" t="s">
        <v>3315</v>
      </c>
      <c r="I536" s="33" t="s">
        <v>3316</v>
      </c>
      <c r="J536" s="2" t="s">
        <v>3317</v>
      </c>
      <c r="K536" s="2" t="s">
        <v>1723</v>
      </c>
      <c r="L536" s="2" t="s">
        <v>1724</v>
      </c>
      <c r="M536" s="29">
        <v>6015</v>
      </c>
      <c r="N536" s="29">
        <v>6055</v>
      </c>
      <c r="O536" s="29">
        <v>6015</v>
      </c>
      <c r="P536" s="29">
        <v>6030</v>
      </c>
      <c r="Q536" s="29">
        <v>40</v>
      </c>
      <c r="R536" s="35">
        <v>0.67</v>
      </c>
      <c r="S536" s="29">
        <v>1.503E-3</v>
      </c>
      <c r="T536" s="29">
        <v>9.0555350000000007E-2</v>
      </c>
      <c r="U536" s="29">
        <v>39.195</v>
      </c>
    </row>
    <row r="537" spans="7:21">
      <c r="G537" s="32">
        <v>20231215</v>
      </c>
      <c r="H537" s="32" t="s">
        <v>3318</v>
      </c>
      <c r="I537" s="33" t="s">
        <v>3319</v>
      </c>
      <c r="J537" s="2" t="s">
        <v>3320</v>
      </c>
      <c r="K537" s="2" t="s">
        <v>1723</v>
      </c>
      <c r="L537" s="2" t="s">
        <v>1724</v>
      </c>
      <c r="M537" s="29">
        <v>14200</v>
      </c>
      <c r="N537" s="29">
        <v>14200</v>
      </c>
      <c r="O537" s="29">
        <v>13680</v>
      </c>
      <c r="P537" s="29">
        <v>13895</v>
      </c>
      <c r="Q537" s="29">
        <v>-365</v>
      </c>
      <c r="R537" s="35">
        <v>-2.56</v>
      </c>
      <c r="S537" s="29">
        <v>1.4840000000000001E-3</v>
      </c>
      <c r="T537" s="29">
        <v>0.20615475</v>
      </c>
      <c r="U537" s="29">
        <v>34.737499999999997</v>
      </c>
    </row>
    <row r="538" spans="7:21">
      <c r="G538" s="32">
        <v>20231215</v>
      </c>
      <c r="H538" s="32" t="s">
        <v>3321</v>
      </c>
      <c r="I538" s="33" t="s">
        <v>3322</v>
      </c>
      <c r="J538" s="2" t="s">
        <v>3323</v>
      </c>
      <c r="K538" s="2" t="s">
        <v>1723</v>
      </c>
      <c r="L538" s="2" t="s">
        <v>1724</v>
      </c>
      <c r="M538" s="29">
        <v>9200</v>
      </c>
      <c r="N538" s="29">
        <v>9360</v>
      </c>
      <c r="O538" s="29">
        <v>9195</v>
      </c>
      <c r="P538" s="29">
        <v>9360</v>
      </c>
      <c r="Q538" s="29">
        <v>375</v>
      </c>
      <c r="R538" s="35">
        <v>4.17</v>
      </c>
      <c r="S538" s="29">
        <v>1.42E-3</v>
      </c>
      <c r="T538" s="29">
        <v>0.13082425</v>
      </c>
      <c r="U538" s="29">
        <v>308.88</v>
      </c>
    </row>
    <row r="539" spans="7:21">
      <c r="G539" s="32">
        <v>20231215</v>
      </c>
      <c r="H539" s="32" t="s">
        <v>3324</v>
      </c>
      <c r="I539" s="33" t="s">
        <v>3325</v>
      </c>
      <c r="J539" s="2" t="s">
        <v>3326</v>
      </c>
      <c r="K539" s="2" t="s">
        <v>1723</v>
      </c>
      <c r="L539" s="2" t="s">
        <v>1724</v>
      </c>
      <c r="M539" s="29">
        <v>9815</v>
      </c>
      <c r="N539" s="29">
        <v>9815</v>
      </c>
      <c r="O539" s="29">
        <v>9730</v>
      </c>
      <c r="P539" s="29">
        <v>9750</v>
      </c>
      <c r="Q539" s="29">
        <v>15</v>
      </c>
      <c r="R539" s="35">
        <v>0.15</v>
      </c>
      <c r="S539" s="29">
        <v>1.4E-3</v>
      </c>
      <c r="T539" s="29">
        <v>0.13651155000000001</v>
      </c>
      <c r="U539" s="29">
        <v>160.875</v>
      </c>
    </row>
    <row r="540" spans="7:21">
      <c r="G540" s="32">
        <v>20231215</v>
      </c>
      <c r="H540" s="32" t="s">
        <v>3327</v>
      </c>
      <c r="I540" s="33" t="s">
        <v>3328</v>
      </c>
      <c r="J540" s="2" t="s">
        <v>3329</v>
      </c>
      <c r="K540" s="2" t="s">
        <v>1723</v>
      </c>
      <c r="L540" s="2" t="s">
        <v>1724</v>
      </c>
      <c r="M540" s="29">
        <v>10500</v>
      </c>
      <c r="N540" s="29">
        <v>10565</v>
      </c>
      <c r="O540" s="29">
        <v>10455</v>
      </c>
      <c r="P540" s="29">
        <v>10540</v>
      </c>
      <c r="Q540" s="29">
        <v>40</v>
      </c>
      <c r="R540" s="35">
        <v>0.38</v>
      </c>
      <c r="S540" s="29">
        <v>1.3749999999999999E-3</v>
      </c>
      <c r="T540" s="29">
        <v>4.8981749999999998E-2</v>
      </c>
      <c r="U540" s="29">
        <v>73.78</v>
      </c>
    </row>
    <row r="541" spans="7:21">
      <c r="G541" s="32">
        <v>20231215</v>
      </c>
      <c r="H541" s="32" t="s">
        <v>3330</v>
      </c>
      <c r="I541" s="33" t="s">
        <v>3331</v>
      </c>
      <c r="J541" s="2" t="s">
        <v>3332</v>
      </c>
      <c r="K541" s="2" t="s">
        <v>1723</v>
      </c>
      <c r="L541" s="2" t="s">
        <v>1724</v>
      </c>
      <c r="M541" s="29">
        <v>10450</v>
      </c>
      <c r="N541" s="29">
        <v>10540</v>
      </c>
      <c r="O541" s="29">
        <v>10445</v>
      </c>
      <c r="P541" s="29">
        <v>10445</v>
      </c>
      <c r="Q541" s="29">
        <v>235</v>
      </c>
      <c r="R541" s="35">
        <v>2.2999999999999998</v>
      </c>
      <c r="S541" s="29">
        <v>1.374E-3</v>
      </c>
      <c r="T541" s="29">
        <v>0.14394665000000001</v>
      </c>
      <c r="U541" s="29">
        <v>402.13249999999999</v>
      </c>
    </row>
    <row r="542" spans="7:21">
      <c r="G542" s="32">
        <v>20231215</v>
      </c>
      <c r="H542" s="32" t="s">
        <v>3333</v>
      </c>
      <c r="I542" s="33" t="s">
        <v>3334</v>
      </c>
      <c r="J542" s="2" t="s">
        <v>3335</v>
      </c>
      <c r="K542" s="2" t="s">
        <v>1723</v>
      </c>
      <c r="L542" s="2" t="s">
        <v>1724</v>
      </c>
      <c r="M542" s="29">
        <v>11950</v>
      </c>
      <c r="N542" s="29">
        <v>11980</v>
      </c>
      <c r="O542" s="29">
        <v>11900</v>
      </c>
      <c r="P542" s="29">
        <v>11920</v>
      </c>
      <c r="Q542" s="29">
        <v>80</v>
      </c>
      <c r="R542" s="35">
        <v>0.68</v>
      </c>
      <c r="S542" s="29">
        <v>1.371E-3</v>
      </c>
      <c r="T542" s="29">
        <v>0.16364224999999999</v>
      </c>
      <c r="U542" s="29">
        <v>143.04</v>
      </c>
    </row>
    <row r="543" spans="7:21">
      <c r="G543" s="32">
        <v>20231215</v>
      </c>
      <c r="H543" s="32" t="s">
        <v>3336</v>
      </c>
      <c r="I543" s="33" t="s">
        <v>3337</v>
      </c>
      <c r="J543" s="2" t="s">
        <v>3338</v>
      </c>
      <c r="K543" s="2" t="s">
        <v>1723</v>
      </c>
      <c r="L543" s="2" t="s">
        <v>1724</v>
      </c>
      <c r="M543" s="29">
        <v>105495</v>
      </c>
      <c r="N543" s="29">
        <v>105770</v>
      </c>
      <c r="O543" s="29">
        <v>105300</v>
      </c>
      <c r="P543" s="29">
        <v>105330</v>
      </c>
      <c r="Q543" s="29">
        <v>-5</v>
      </c>
      <c r="R543" s="35">
        <v>0</v>
      </c>
      <c r="S543" s="29">
        <v>1.3649999999999999E-3</v>
      </c>
      <c r="T543" s="29">
        <v>1.43958385</v>
      </c>
      <c r="U543" s="29">
        <v>206.4468</v>
      </c>
    </row>
    <row r="544" spans="7:21">
      <c r="G544" s="32">
        <v>20231215</v>
      </c>
      <c r="H544" s="32" t="s">
        <v>3339</v>
      </c>
      <c r="I544" s="33" t="s">
        <v>3340</v>
      </c>
      <c r="J544" s="2" t="s">
        <v>3341</v>
      </c>
      <c r="K544" s="2" t="s">
        <v>1723</v>
      </c>
      <c r="L544" s="2" t="s">
        <v>1724</v>
      </c>
      <c r="M544" s="29">
        <v>10525</v>
      </c>
      <c r="N544" s="29">
        <v>10610</v>
      </c>
      <c r="O544" s="29">
        <v>10525</v>
      </c>
      <c r="P544" s="29">
        <v>10605</v>
      </c>
      <c r="Q544" s="29">
        <v>120</v>
      </c>
      <c r="R544" s="35">
        <v>1.1399999999999999</v>
      </c>
      <c r="S544" s="29">
        <v>1.307E-3</v>
      </c>
      <c r="T544" s="29">
        <v>0.13761770000000001</v>
      </c>
      <c r="U544" s="29">
        <v>21.21</v>
      </c>
    </row>
    <row r="545" spans="7:21">
      <c r="G545" s="32">
        <v>20231215</v>
      </c>
      <c r="H545" s="32" t="s">
        <v>3342</v>
      </c>
      <c r="I545" s="33" t="s">
        <v>3343</v>
      </c>
      <c r="J545" s="2" t="s">
        <v>3344</v>
      </c>
      <c r="K545" s="2" t="s">
        <v>1723</v>
      </c>
      <c r="L545" s="2" t="s">
        <v>1724</v>
      </c>
      <c r="M545" s="29">
        <v>5810</v>
      </c>
      <c r="N545" s="29">
        <v>5810</v>
      </c>
      <c r="O545" s="29">
        <v>5750</v>
      </c>
      <c r="P545" s="29">
        <v>5790</v>
      </c>
      <c r="Q545" s="29">
        <v>-60</v>
      </c>
      <c r="R545" s="35">
        <v>-1.03</v>
      </c>
      <c r="S545" s="29">
        <v>1.292E-3</v>
      </c>
      <c r="T545" s="29">
        <v>7.4716900000000003E-2</v>
      </c>
      <c r="U545" s="29">
        <v>34.74</v>
      </c>
    </row>
    <row r="546" spans="7:21">
      <c r="G546" s="32">
        <v>20231215</v>
      </c>
      <c r="H546" s="32" t="s">
        <v>3345</v>
      </c>
      <c r="I546" s="33" t="s">
        <v>3346</v>
      </c>
      <c r="J546" s="2" t="s">
        <v>3347</v>
      </c>
      <c r="K546" s="2" t="s">
        <v>1723</v>
      </c>
      <c r="L546" s="2" t="s">
        <v>1724</v>
      </c>
      <c r="M546" s="29">
        <v>8830</v>
      </c>
      <c r="N546" s="29">
        <v>8850</v>
      </c>
      <c r="O546" s="29">
        <v>8720</v>
      </c>
      <c r="P546" s="29">
        <v>8780</v>
      </c>
      <c r="Q546" s="29">
        <v>-50</v>
      </c>
      <c r="R546" s="35">
        <v>-0.56999999999999995</v>
      </c>
      <c r="S546" s="29">
        <v>1.289E-3</v>
      </c>
      <c r="T546" s="29">
        <v>0.1131345</v>
      </c>
      <c r="U546" s="29">
        <v>52.68</v>
      </c>
    </row>
    <row r="547" spans="7:21">
      <c r="G547" s="32">
        <v>20231215</v>
      </c>
      <c r="H547" s="32" t="s">
        <v>3348</v>
      </c>
      <c r="I547" s="33" t="s">
        <v>3349</v>
      </c>
      <c r="J547" s="2" t="s">
        <v>3350</v>
      </c>
      <c r="K547" s="2" t="s">
        <v>1723</v>
      </c>
      <c r="L547" s="2" t="s">
        <v>1724</v>
      </c>
      <c r="M547" s="29">
        <v>15995</v>
      </c>
      <c r="N547" s="29">
        <v>16150</v>
      </c>
      <c r="O547" s="29">
        <v>15945</v>
      </c>
      <c r="P547" s="29">
        <v>15985</v>
      </c>
      <c r="Q547" s="29">
        <v>-10</v>
      </c>
      <c r="R547" s="35">
        <v>-0.06</v>
      </c>
      <c r="S547" s="29">
        <v>1.2869999999999999E-3</v>
      </c>
      <c r="T547" s="29">
        <v>0.2064512</v>
      </c>
      <c r="U547" s="29">
        <v>239.77500000000001</v>
      </c>
    </row>
    <row r="548" spans="7:21">
      <c r="G548" s="32">
        <v>20231215</v>
      </c>
      <c r="H548" s="32" t="s">
        <v>3351</v>
      </c>
      <c r="I548" s="33" t="s">
        <v>3352</v>
      </c>
      <c r="J548" s="2" t="s">
        <v>3353</v>
      </c>
      <c r="K548" s="2" t="s">
        <v>1723</v>
      </c>
      <c r="L548" s="2" t="s">
        <v>1724</v>
      </c>
      <c r="M548" s="29">
        <v>10170</v>
      </c>
      <c r="N548" s="29">
        <v>10200</v>
      </c>
      <c r="O548" s="29">
        <v>10100</v>
      </c>
      <c r="P548" s="29">
        <v>10190</v>
      </c>
      <c r="Q548" s="29">
        <v>-30</v>
      </c>
      <c r="R548" s="35">
        <v>-0.28999999999999998</v>
      </c>
      <c r="S548" s="29">
        <v>1.2800000000000001E-3</v>
      </c>
      <c r="T548" s="29">
        <v>0.12983149999999999</v>
      </c>
      <c r="U548" s="29">
        <v>91.71</v>
      </c>
    </row>
    <row r="549" spans="7:21">
      <c r="G549" s="32">
        <v>20231215</v>
      </c>
      <c r="H549" s="32" t="s">
        <v>3354</v>
      </c>
      <c r="I549" s="33" t="s">
        <v>3355</v>
      </c>
      <c r="J549" s="2" t="s">
        <v>3356</v>
      </c>
      <c r="K549" s="2" t="s">
        <v>1723</v>
      </c>
      <c r="L549" s="2" t="s">
        <v>1724</v>
      </c>
      <c r="M549" s="29">
        <v>11955</v>
      </c>
      <c r="N549" s="29">
        <v>11970</v>
      </c>
      <c r="O549" s="29">
        <v>11915</v>
      </c>
      <c r="P549" s="29">
        <v>11970</v>
      </c>
      <c r="Q549" s="29">
        <v>-70</v>
      </c>
      <c r="R549" s="35">
        <v>-0.57999999999999996</v>
      </c>
      <c r="S549" s="29">
        <v>1.2589999999999999E-3</v>
      </c>
      <c r="T549" s="29">
        <v>0.15020344999999999</v>
      </c>
      <c r="U549" s="29">
        <v>86.183999999999997</v>
      </c>
    </row>
    <row r="550" spans="7:21">
      <c r="G550" s="32">
        <v>20231215</v>
      </c>
      <c r="H550" s="32" t="s">
        <v>3357</v>
      </c>
      <c r="I550" s="33" t="s">
        <v>3358</v>
      </c>
      <c r="J550" s="2" t="s">
        <v>3359</v>
      </c>
      <c r="K550" s="2" t="s">
        <v>1723</v>
      </c>
      <c r="L550" s="2" t="s">
        <v>1724</v>
      </c>
      <c r="M550" s="29">
        <v>11960</v>
      </c>
      <c r="N550" s="29">
        <v>12405</v>
      </c>
      <c r="O550" s="29">
        <v>11960</v>
      </c>
      <c r="P550" s="29">
        <v>12395</v>
      </c>
      <c r="Q550" s="29">
        <v>75</v>
      </c>
      <c r="R550" s="35">
        <v>0.61</v>
      </c>
      <c r="S550" s="29">
        <v>1.2160000000000001E-3</v>
      </c>
      <c r="T550" s="29">
        <v>0.15029375</v>
      </c>
      <c r="U550" s="29">
        <v>61.975000000000001</v>
      </c>
    </row>
    <row r="551" spans="7:21">
      <c r="G551" s="32">
        <v>20231215</v>
      </c>
      <c r="H551" s="32" t="s">
        <v>3360</v>
      </c>
      <c r="I551" s="33" t="s">
        <v>3361</v>
      </c>
      <c r="J551" s="2" t="s">
        <v>3362</v>
      </c>
      <c r="K551" s="2" t="s">
        <v>1723</v>
      </c>
      <c r="L551" s="2" t="s">
        <v>1724</v>
      </c>
      <c r="M551" s="29">
        <v>29100</v>
      </c>
      <c r="N551" s="29">
        <v>29365</v>
      </c>
      <c r="O551" s="29">
        <v>29100</v>
      </c>
      <c r="P551" s="29">
        <v>29245</v>
      </c>
      <c r="Q551" s="29">
        <v>95</v>
      </c>
      <c r="R551" s="35">
        <v>0.33</v>
      </c>
      <c r="S551" s="29">
        <v>1.1839999999999999E-3</v>
      </c>
      <c r="T551" s="29">
        <v>0.34509374999999998</v>
      </c>
      <c r="U551" s="29">
        <v>52.640999999999998</v>
      </c>
    </row>
    <row r="552" spans="7:21">
      <c r="G552" s="32">
        <v>20231215</v>
      </c>
      <c r="H552" s="32" t="s">
        <v>3363</v>
      </c>
      <c r="I552" s="33" t="s">
        <v>3364</v>
      </c>
      <c r="J552" s="2" t="s">
        <v>3365</v>
      </c>
      <c r="K552" s="2" t="s">
        <v>1723</v>
      </c>
      <c r="L552" s="2" t="s">
        <v>1724</v>
      </c>
      <c r="M552" s="29">
        <v>19585</v>
      </c>
      <c r="N552" s="29">
        <v>19815</v>
      </c>
      <c r="O552" s="29">
        <v>19585</v>
      </c>
      <c r="P552" s="29">
        <v>19740</v>
      </c>
      <c r="Q552" s="29">
        <v>85</v>
      </c>
      <c r="R552" s="35">
        <v>0.43</v>
      </c>
      <c r="S552" s="29">
        <v>1.1590000000000001E-3</v>
      </c>
      <c r="T552" s="29">
        <v>0.22852310000000001</v>
      </c>
      <c r="U552" s="29">
        <v>75.012</v>
      </c>
    </row>
    <row r="553" spans="7:21">
      <c r="G553" s="32">
        <v>20231215</v>
      </c>
      <c r="H553" s="32" t="s">
        <v>3366</v>
      </c>
      <c r="I553" s="33" t="s">
        <v>3367</v>
      </c>
      <c r="J553" s="2" t="s">
        <v>3368</v>
      </c>
      <c r="K553" s="2" t="s">
        <v>1723</v>
      </c>
      <c r="L553" s="2" t="s">
        <v>1724</v>
      </c>
      <c r="M553" s="29">
        <v>9135</v>
      </c>
      <c r="N553" s="29">
        <v>9210</v>
      </c>
      <c r="O553" s="29">
        <v>9095</v>
      </c>
      <c r="P553" s="29">
        <v>9095</v>
      </c>
      <c r="Q553" s="29">
        <v>50</v>
      </c>
      <c r="R553" s="35">
        <v>0.55000000000000004</v>
      </c>
      <c r="S553" s="29">
        <v>1.1360000000000001E-3</v>
      </c>
      <c r="T553" s="29">
        <v>0.10449174999999999</v>
      </c>
      <c r="U553" s="29">
        <v>38.198999999999998</v>
      </c>
    </row>
    <row r="554" spans="7:21">
      <c r="G554" s="32">
        <v>20231215</v>
      </c>
      <c r="H554" s="32" t="s">
        <v>3369</v>
      </c>
      <c r="I554" s="33" t="s">
        <v>3370</v>
      </c>
      <c r="J554" s="2" t="s">
        <v>3371</v>
      </c>
      <c r="K554" s="2" t="s">
        <v>1723</v>
      </c>
      <c r="L554" s="2" t="s">
        <v>1724</v>
      </c>
      <c r="M554" s="29">
        <v>16665</v>
      </c>
      <c r="N554" s="29">
        <v>16740</v>
      </c>
      <c r="O554" s="29">
        <v>16605</v>
      </c>
      <c r="P554" s="29">
        <v>16605</v>
      </c>
      <c r="Q554" s="29">
        <v>65</v>
      </c>
      <c r="R554" s="35">
        <v>0.39</v>
      </c>
      <c r="S554" s="29">
        <v>1.122E-3</v>
      </c>
      <c r="T554" s="29">
        <v>0.18717215000000001</v>
      </c>
      <c r="U554" s="29">
        <v>99.63</v>
      </c>
    </row>
    <row r="555" spans="7:21">
      <c r="G555" s="32">
        <v>20231215</v>
      </c>
      <c r="H555" s="32" t="s">
        <v>3372</v>
      </c>
      <c r="I555" s="33" t="s">
        <v>3373</v>
      </c>
      <c r="J555" s="2" t="s">
        <v>3374</v>
      </c>
      <c r="K555" s="2" t="s">
        <v>1723</v>
      </c>
      <c r="L555" s="2" t="s">
        <v>1724</v>
      </c>
      <c r="M555" s="29">
        <v>11885</v>
      </c>
      <c r="N555" s="29">
        <v>11980</v>
      </c>
      <c r="O555" s="29">
        <v>11880</v>
      </c>
      <c r="P555" s="29">
        <v>11900</v>
      </c>
      <c r="Q555" s="29">
        <v>-15</v>
      </c>
      <c r="R555" s="35">
        <v>-0.13</v>
      </c>
      <c r="S555" s="29">
        <v>1.1150000000000001E-3</v>
      </c>
      <c r="T555" s="29">
        <v>0.1330162</v>
      </c>
      <c r="U555" s="29">
        <v>154.69999999999999</v>
      </c>
    </row>
    <row r="556" spans="7:21">
      <c r="G556" s="32">
        <v>20231215</v>
      </c>
      <c r="H556" s="32" t="s">
        <v>3375</v>
      </c>
      <c r="I556" s="33" t="s">
        <v>3376</v>
      </c>
      <c r="J556" s="2" t="s">
        <v>3377</v>
      </c>
      <c r="K556" s="2" t="s">
        <v>1723</v>
      </c>
      <c r="L556" s="2" t="s">
        <v>1724</v>
      </c>
      <c r="M556" s="29">
        <v>12345</v>
      </c>
      <c r="N556" s="29">
        <v>12395</v>
      </c>
      <c r="O556" s="29">
        <v>12320</v>
      </c>
      <c r="P556" s="29">
        <v>12395</v>
      </c>
      <c r="Q556" s="29">
        <v>55</v>
      </c>
      <c r="R556" s="35">
        <v>0.45</v>
      </c>
      <c r="S556" s="29">
        <v>1.111E-3</v>
      </c>
      <c r="T556" s="29">
        <v>0.13733480000000001</v>
      </c>
      <c r="U556" s="29">
        <v>99.16</v>
      </c>
    </row>
    <row r="557" spans="7:21">
      <c r="G557" s="32">
        <v>20231215</v>
      </c>
      <c r="H557" s="32" t="s">
        <v>3378</v>
      </c>
      <c r="I557" s="33" t="s">
        <v>3379</v>
      </c>
      <c r="J557" s="2" t="s">
        <v>3380</v>
      </c>
      <c r="K557" s="2" t="s">
        <v>1723</v>
      </c>
      <c r="L557" s="2" t="s">
        <v>1724</v>
      </c>
      <c r="M557" s="29">
        <v>10850</v>
      </c>
      <c r="N557" s="29">
        <v>10895</v>
      </c>
      <c r="O557" s="29">
        <v>10845</v>
      </c>
      <c r="P557" s="29">
        <v>10870</v>
      </c>
      <c r="Q557" s="29">
        <v>35</v>
      </c>
      <c r="R557" s="35">
        <v>0.32</v>
      </c>
      <c r="S557" s="29">
        <v>1.075E-3</v>
      </c>
      <c r="T557" s="29">
        <v>0.11691885</v>
      </c>
      <c r="U557" s="29">
        <v>54.35</v>
      </c>
    </row>
    <row r="558" spans="7:21">
      <c r="G558" s="32">
        <v>20231215</v>
      </c>
      <c r="H558" s="32" t="s">
        <v>3381</v>
      </c>
      <c r="I558" s="33" t="s">
        <v>3382</v>
      </c>
      <c r="J558" s="2" t="s">
        <v>3383</v>
      </c>
      <c r="K558" s="2" t="s">
        <v>1723</v>
      </c>
      <c r="L558" s="2" t="s">
        <v>1724</v>
      </c>
      <c r="M558" s="29">
        <v>106150</v>
      </c>
      <c r="N558" s="29">
        <v>106190</v>
      </c>
      <c r="O558" s="29">
        <v>106090</v>
      </c>
      <c r="P558" s="29">
        <v>106185</v>
      </c>
      <c r="Q558" s="29">
        <v>-95</v>
      </c>
      <c r="R558" s="35">
        <v>-0.09</v>
      </c>
      <c r="S558" s="29">
        <v>1.0709999999999999E-3</v>
      </c>
      <c r="T558" s="29">
        <v>1.1370981</v>
      </c>
      <c r="U558" s="29">
        <v>609.50189999999998</v>
      </c>
    </row>
    <row r="559" spans="7:21">
      <c r="G559" s="32">
        <v>20231215</v>
      </c>
      <c r="H559" s="32" t="s">
        <v>3384</v>
      </c>
      <c r="I559" s="33" t="s">
        <v>3385</v>
      </c>
      <c r="J559" s="2" t="s">
        <v>3386</v>
      </c>
      <c r="K559" s="2" t="s">
        <v>1723</v>
      </c>
      <c r="L559" s="2" t="s">
        <v>1724</v>
      </c>
      <c r="M559" s="29">
        <v>8625</v>
      </c>
      <c r="N559" s="29">
        <v>8645</v>
      </c>
      <c r="O559" s="29">
        <v>8625</v>
      </c>
      <c r="P559" s="29">
        <v>8630</v>
      </c>
      <c r="Q559" s="29">
        <v>40</v>
      </c>
      <c r="R559" s="35">
        <v>0.47</v>
      </c>
      <c r="S559" s="29">
        <v>1.042E-3</v>
      </c>
      <c r="T559" s="29">
        <v>8.9909149999999993E-2</v>
      </c>
      <c r="U559" s="29">
        <v>267.52999999999997</v>
      </c>
    </row>
    <row r="560" spans="7:21">
      <c r="G560" s="32">
        <v>20231215</v>
      </c>
      <c r="H560" s="32" t="s">
        <v>3387</v>
      </c>
      <c r="I560" s="33" t="s">
        <v>3388</v>
      </c>
      <c r="J560" s="2" t="s">
        <v>3389</v>
      </c>
      <c r="K560" s="2" t="s">
        <v>1723</v>
      </c>
      <c r="L560" s="2" t="s">
        <v>1724</v>
      </c>
      <c r="M560" s="29">
        <v>43140</v>
      </c>
      <c r="N560" s="29">
        <v>43260</v>
      </c>
      <c r="O560" s="29">
        <v>42920</v>
      </c>
      <c r="P560" s="29">
        <v>42950</v>
      </c>
      <c r="Q560" s="29">
        <v>325</v>
      </c>
      <c r="R560" s="35">
        <v>0.76</v>
      </c>
      <c r="S560" s="29">
        <v>1.0369999999999999E-3</v>
      </c>
      <c r="T560" s="29">
        <v>0.44698805000000003</v>
      </c>
      <c r="U560" s="29">
        <v>901.95</v>
      </c>
    </row>
    <row r="561" spans="7:21">
      <c r="G561" s="32">
        <v>20231215</v>
      </c>
      <c r="H561" s="32" t="s">
        <v>3390</v>
      </c>
      <c r="I561" s="33" t="s">
        <v>3391</v>
      </c>
      <c r="J561" s="2" t="s">
        <v>3392</v>
      </c>
      <c r="K561" s="2" t="s">
        <v>1723</v>
      </c>
      <c r="L561" s="2" t="s">
        <v>1724</v>
      </c>
      <c r="M561" s="29">
        <v>8595</v>
      </c>
      <c r="N561" s="29">
        <v>8595</v>
      </c>
      <c r="O561" s="29">
        <v>8490</v>
      </c>
      <c r="P561" s="29">
        <v>8545</v>
      </c>
      <c r="Q561" s="29">
        <v>35</v>
      </c>
      <c r="R561" s="35">
        <v>0.41</v>
      </c>
      <c r="S561" s="29">
        <v>9.8700000000000003E-4</v>
      </c>
      <c r="T561" s="29">
        <v>8.4099149999999998E-2</v>
      </c>
      <c r="U561" s="29">
        <v>102.54</v>
      </c>
    </row>
    <row r="562" spans="7:21">
      <c r="G562" s="32">
        <v>20231215</v>
      </c>
      <c r="H562" s="32" t="s">
        <v>3393</v>
      </c>
      <c r="I562" s="33" t="s">
        <v>3394</v>
      </c>
      <c r="J562" s="2" t="s">
        <v>3395</v>
      </c>
      <c r="K562" s="2" t="s">
        <v>1723</v>
      </c>
      <c r="L562" s="2" t="s">
        <v>1724</v>
      </c>
      <c r="M562" s="29">
        <v>13295</v>
      </c>
      <c r="N562" s="29">
        <v>13340</v>
      </c>
      <c r="O562" s="29">
        <v>13295</v>
      </c>
      <c r="P562" s="29">
        <v>13340</v>
      </c>
      <c r="Q562" s="29">
        <v>465</v>
      </c>
      <c r="R562" s="35">
        <v>3.61</v>
      </c>
      <c r="S562" s="29">
        <v>9.7000000000000005E-4</v>
      </c>
      <c r="T562" s="29">
        <v>0.12933244999999999</v>
      </c>
      <c r="U562" s="29">
        <v>66.7</v>
      </c>
    </row>
    <row r="563" spans="7:21">
      <c r="G563" s="32">
        <v>20231215</v>
      </c>
      <c r="H563" s="32" t="s">
        <v>3396</v>
      </c>
      <c r="I563" s="33" t="s">
        <v>3397</v>
      </c>
      <c r="J563" s="2" t="s">
        <v>3398</v>
      </c>
      <c r="K563" s="2" t="s">
        <v>1723</v>
      </c>
      <c r="L563" s="2" t="s">
        <v>1724</v>
      </c>
      <c r="M563" s="29">
        <v>14365</v>
      </c>
      <c r="N563" s="29">
        <v>14420</v>
      </c>
      <c r="O563" s="29">
        <v>14350</v>
      </c>
      <c r="P563" s="29">
        <v>14415</v>
      </c>
      <c r="Q563" s="29">
        <v>0</v>
      </c>
      <c r="R563" s="35">
        <v>0</v>
      </c>
      <c r="S563" s="29">
        <v>9.3899999999999995E-4</v>
      </c>
      <c r="T563" s="29">
        <v>0.13500275</v>
      </c>
      <c r="U563" s="29">
        <v>330.1035</v>
      </c>
    </row>
    <row r="564" spans="7:21">
      <c r="G564" s="32">
        <v>20231215</v>
      </c>
      <c r="H564" s="32" t="s">
        <v>3399</v>
      </c>
      <c r="I564" s="33" t="s">
        <v>3400</v>
      </c>
      <c r="J564" s="2" t="s">
        <v>3401</v>
      </c>
      <c r="K564" s="2" t="s">
        <v>1723</v>
      </c>
      <c r="L564" s="2" t="s">
        <v>1724</v>
      </c>
      <c r="M564" s="29">
        <v>34270</v>
      </c>
      <c r="N564" s="29">
        <v>34735</v>
      </c>
      <c r="O564" s="29">
        <v>34270</v>
      </c>
      <c r="P564" s="29">
        <v>34495</v>
      </c>
      <c r="Q564" s="29">
        <v>250</v>
      </c>
      <c r="R564" s="35">
        <v>0.73</v>
      </c>
      <c r="S564" s="29">
        <v>9.3499999999999996E-4</v>
      </c>
      <c r="T564" s="29">
        <v>0.32357799999999998</v>
      </c>
      <c r="U564" s="29">
        <v>5415.7150000000001</v>
      </c>
    </row>
    <row r="565" spans="7:21">
      <c r="G565" s="32">
        <v>20231215</v>
      </c>
      <c r="H565" s="32" t="s">
        <v>3402</v>
      </c>
      <c r="I565" s="33" t="s">
        <v>3403</v>
      </c>
      <c r="J565" s="2" t="s">
        <v>3404</v>
      </c>
      <c r="K565" s="2" t="s">
        <v>1723</v>
      </c>
      <c r="L565" s="2" t="s">
        <v>1724</v>
      </c>
      <c r="M565" s="29">
        <v>12445</v>
      </c>
      <c r="N565" s="29">
        <v>12525</v>
      </c>
      <c r="O565" s="29">
        <v>12445</v>
      </c>
      <c r="P565" s="29">
        <v>12480</v>
      </c>
      <c r="Q565" s="29">
        <v>110</v>
      </c>
      <c r="R565" s="35">
        <v>0.89</v>
      </c>
      <c r="S565" s="29">
        <v>9.2500000000000004E-4</v>
      </c>
      <c r="T565" s="29">
        <v>0.1155694</v>
      </c>
      <c r="U565" s="29">
        <v>349.44</v>
      </c>
    </row>
    <row r="566" spans="7:21">
      <c r="G566" s="32">
        <v>20231215</v>
      </c>
      <c r="H566" s="32" t="s">
        <v>3405</v>
      </c>
      <c r="I566" s="33" t="s">
        <v>3406</v>
      </c>
      <c r="J566" s="2" t="s">
        <v>3407</v>
      </c>
      <c r="K566" s="2" t="s">
        <v>1723</v>
      </c>
      <c r="L566" s="2" t="s">
        <v>1724</v>
      </c>
      <c r="M566" s="29">
        <v>11895</v>
      </c>
      <c r="N566" s="29">
        <v>11990</v>
      </c>
      <c r="O566" s="29">
        <v>11895</v>
      </c>
      <c r="P566" s="29">
        <v>11960</v>
      </c>
      <c r="Q566" s="29">
        <v>245</v>
      </c>
      <c r="R566" s="35">
        <v>2.09</v>
      </c>
      <c r="S566" s="29">
        <v>9.0899999999999998E-4</v>
      </c>
      <c r="T566" s="29">
        <v>0.10867785000000001</v>
      </c>
      <c r="U566" s="29">
        <v>77.739999999999995</v>
      </c>
    </row>
    <row r="567" spans="7:21">
      <c r="G567" s="32">
        <v>20231215</v>
      </c>
      <c r="H567" s="32" t="s">
        <v>3408</v>
      </c>
      <c r="I567" s="33" t="s">
        <v>3409</v>
      </c>
      <c r="J567" s="2" t="s">
        <v>3410</v>
      </c>
      <c r="K567" s="2" t="s">
        <v>1723</v>
      </c>
      <c r="L567" s="2" t="s">
        <v>1724</v>
      </c>
      <c r="M567" s="29">
        <v>25235</v>
      </c>
      <c r="N567" s="29">
        <v>25410</v>
      </c>
      <c r="O567" s="29">
        <v>25235</v>
      </c>
      <c r="P567" s="29">
        <v>25395</v>
      </c>
      <c r="Q567" s="29">
        <v>315</v>
      </c>
      <c r="R567" s="35">
        <v>1.26</v>
      </c>
      <c r="S567" s="29">
        <v>8.8999999999999995E-4</v>
      </c>
      <c r="T567" s="29">
        <v>0.2255509</v>
      </c>
      <c r="U567" s="29">
        <v>145.76730000000001</v>
      </c>
    </row>
    <row r="568" spans="7:21">
      <c r="G568" s="32">
        <v>20231215</v>
      </c>
      <c r="H568" s="32" t="s">
        <v>3411</v>
      </c>
      <c r="I568" s="33" t="s">
        <v>3412</v>
      </c>
      <c r="J568" s="2" t="s">
        <v>3413</v>
      </c>
      <c r="K568" s="2" t="s">
        <v>1723</v>
      </c>
      <c r="L568" s="2" t="s">
        <v>1724</v>
      </c>
      <c r="M568" s="29">
        <v>21770</v>
      </c>
      <c r="N568" s="29">
        <v>22010</v>
      </c>
      <c r="O568" s="29">
        <v>21760</v>
      </c>
      <c r="P568" s="29">
        <v>21770</v>
      </c>
      <c r="Q568" s="29">
        <v>5</v>
      </c>
      <c r="R568" s="35">
        <v>0.02</v>
      </c>
      <c r="S568" s="29">
        <v>8.6399999999999997E-4</v>
      </c>
      <c r="T568" s="29">
        <v>0.18922905000000001</v>
      </c>
      <c r="U568" s="29">
        <v>1062.376</v>
      </c>
    </row>
    <row r="569" spans="7:21">
      <c r="G569" s="32">
        <v>20231215</v>
      </c>
      <c r="H569" s="32" t="s">
        <v>3414</v>
      </c>
      <c r="I569" s="33" t="s">
        <v>3415</v>
      </c>
      <c r="J569" s="2" t="s">
        <v>3416</v>
      </c>
      <c r="K569" s="2" t="s">
        <v>1723</v>
      </c>
      <c r="L569" s="2" t="s">
        <v>1724</v>
      </c>
      <c r="M569" s="29">
        <v>14680</v>
      </c>
      <c r="N569" s="29">
        <v>14725</v>
      </c>
      <c r="O569" s="29">
        <v>14660</v>
      </c>
      <c r="P569" s="29">
        <v>14670</v>
      </c>
      <c r="Q569" s="29">
        <v>-10</v>
      </c>
      <c r="R569" s="35">
        <v>-7.0000000000000007E-2</v>
      </c>
      <c r="S569" s="29">
        <v>8.5999999999999998E-4</v>
      </c>
      <c r="T569" s="29">
        <v>0.1264633</v>
      </c>
      <c r="U569" s="29">
        <v>117.36</v>
      </c>
    </row>
    <row r="570" spans="7:21">
      <c r="G570" s="32">
        <v>20231215</v>
      </c>
      <c r="H570" s="32" t="s">
        <v>3417</v>
      </c>
      <c r="I570" s="33" t="s">
        <v>3418</v>
      </c>
      <c r="J570" s="2" t="s">
        <v>3419</v>
      </c>
      <c r="K570" s="2" t="s">
        <v>1723</v>
      </c>
      <c r="L570" s="2" t="s">
        <v>1724</v>
      </c>
      <c r="M570" s="29">
        <v>10085</v>
      </c>
      <c r="N570" s="29">
        <v>10115</v>
      </c>
      <c r="O570" s="29">
        <v>10075</v>
      </c>
      <c r="P570" s="29">
        <v>10105</v>
      </c>
      <c r="Q570" s="29">
        <v>20</v>
      </c>
      <c r="R570" s="35">
        <v>0.2</v>
      </c>
      <c r="S570" s="29">
        <v>8.5300000000000003E-4</v>
      </c>
      <c r="T570" s="29">
        <v>8.6043599999999998E-2</v>
      </c>
      <c r="U570" s="29">
        <v>90.944999999999993</v>
      </c>
    </row>
    <row r="571" spans="7:21">
      <c r="G571" s="32">
        <v>20231215</v>
      </c>
      <c r="H571" s="32" t="s">
        <v>3420</v>
      </c>
      <c r="I571" s="33" t="s">
        <v>3421</v>
      </c>
      <c r="J571" s="2" t="s">
        <v>3422</v>
      </c>
      <c r="K571" s="2" t="s">
        <v>1723</v>
      </c>
      <c r="L571" s="2" t="s">
        <v>1724</v>
      </c>
      <c r="M571" s="29">
        <v>9410</v>
      </c>
      <c r="N571" s="29">
        <v>9410</v>
      </c>
      <c r="O571" s="29">
        <v>9295</v>
      </c>
      <c r="P571" s="29">
        <v>9310</v>
      </c>
      <c r="Q571" s="29">
        <v>-100</v>
      </c>
      <c r="R571" s="35">
        <v>-1.06</v>
      </c>
      <c r="S571" s="29">
        <v>8.4500000000000005E-4</v>
      </c>
      <c r="T571" s="29">
        <v>7.8721050000000001E-2</v>
      </c>
      <c r="U571" s="29">
        <v>65.17</v>
      </c>
    </row>
    <row r="572" spans="7:21">
      <c r="G572" s="32">
        <v>20231215</v>
      </c>
      <c r="H572" s="32" t="s">
        <v>3423</v>
      </c>
      <c r="I572" s="33" t="s">
        <v>3424</v>
      </c>
      <c r="J572" s="2" t="s">
        <v>3425</v>
      </c>
      <c r="K572" s="2" t="s">
        <v>1723</v>
      </c>
      <c r="L572" s="2" t="s">
        <v>1724</v>
      </c>
      <c r="M572" s="29">
        <v>6275</v>
      </c>
      <c r="N572" s="29">
        <v>6275</v>
      </c>
      <c r="O572" s="29">
        <v>6200</v>
      </c>
      <c r="P572" s="29">
        <v>6200</v>
      </c>
      <c r="Q572" s="29">
        <v>-40</v>
      </c>
      <c r="R572" s="35">
        <v>-0.64</v>
      </c>
      <c r="S572" s="29">
        <v>8.03E-4</v>
      </c>
      <c r="T572" s="29">
        <v>5.0099900000000003E-2</v>
      </c>
      <c r="U572" s="29">
        <v>68.2</v>
      </c>
    </row>
    <row r="573" spans="7:21">
      <c r="G573" s="32">
        <v>20231215</v>
      </c>
      <c r="H573" s="32" t="s">
        <v>3426</v>
      </c>
      <c r="I573" s="33" t="s">
        <v>3427</v>
      </c>
      <c r="J573" s="2" t="s">
        <v>3428</v>
      </c>
      <c r="K573" s="2" t="s">
        <v>1723</v>
      </c>
      <c r="L573" s="2" t="s">
        <v>1724</v>
      </c>
      <c r="M573" s="29">
        <v>12835</v>
      </c>
      <c r="N573" s="29">
        <v>12995</v>
      </c>
      <c r="O573" s="29">
        <v>12835</v>
      </c>
      <c r="P573" s="29">
        <v>12910</v>
      </c>
      <c r="Q573" s="29">
        <v>45</v>
      </c>
      <c r="R573" s="35">
        <v>0.35</v>
      </c>
      <c r="S573" s="29">
        <v>7.9600000000000005E-4</v>
      </c>
      <c r="T573" s="29">
        <v>0.10278755000000001</v>
      </c>
      <c r="U573" s="29">
        <v>77.459999999999994</v>
      </c>
    </row>
    <row r="574" spans="7:21">
      <c r="G574" s="32">
        <v>20231215</v>
      </c>
      <c r="H574" s="32" t="s">
        <v>3429</v>
      </c>
      <c r="I574" s="33" t="s">
        <v>3430</v>
      </c>
      <c r="J574" s="2" t="s">
        <v>3431</v>
      </c>
      <c r="K574" s="2" t="s">
        <v>1723</v>
      </c>
      <c r="L574" s="2" t="s">
        <v>1724</v>
      </c>
      <c r="M574" s="29">
        <v>10280</v>
      </c>
      <c r="N574" s="29">
        <v>10360</v>
      </c>
      <c r="O574" s="29">
        <v>10245</v>
      </c>
      <c r="P574" s="29">
        <v>10315</v>
      </c>
      <c r="Q574" s="29">
        <v>185</v>
      </c>
      <c r="R574" s="35">
        <v>1.83</v>
      </c>
      <c r="S574" s="29">
        <v>7.8200000000000003E-4</v>
      </c>
      <c r="T574" s="29">
        <v>8.0852250000000001E-2</v>
      </c>
      <c r="U574" s="29">
        <v>30.945</v>
      </c>
    </row>
    <row r="575" spans="7:21">
      <c r="G575" s="32">
        <v>20231215</v>
      </c>
      <c r="H575" s="32" t="s">
        <v>3432</v>
      </c>
      <c r="I575" s="33" t="s">
        <v>3433</v>
      </c>
      <c r="J575" s="2" t="s">
        <v>3434</v>
      </c>
      <c r="K575" s="2" t="s">
        <v>1723</v>
      </c>
      <c r="L575" s="2" t="s">
        <v>1724</v>
      </c>
      <c r="M575" s="29">
        <v>11915</v>
      </c>
      <c r="N575" s="29">
        <v>12060</v>
      </c>
      <c r="O575" s="29">
        <v>11915</v>
      </c>
      <c r="P575" s="29">
        <v>11945</v>
      </c>
      <c r="Q575" s="29">
        <v>195</v>
      </c>
      <c r="R575" s="35">
        <v>1.66</v>
      </c>
      <c r="S575" s="29">
        <v>7.7200000000000001E-4</v>
      </c>
      <c r="T575" s="29">
        <v>9.2659099999999994E-2</v>
      </c>
      <c r="U575" s="29">
        <v>191.12</v>
      </c>
    </row>
    <row r="576" spans="7:21">
      <c r="G576" s="32">
        <v>20231215</v>
      </c>
      <c r="H576" s="32" t="s">
        <v>3435</v>
      </c>
      <c r="I576" s="33" t="s">
        <v>3436</v>
      </c>
      <c r="J576" s="2" t="s">
        <v>3437</v>
      </c>
      <c r="K576" s="2" t="s">
        <v>1723</v>
      </c>
      <c r="L576" s="2" t="s">
        <v>1724</v>
      </c>
      <c r="M576" s="29">
        <v>13885</v>
      </c>
      <c r="N576" s="29">
        <v>13945</v>
      </c>
      <c r="O576" s="29">
        <v>13885</v>
      </c>
      <c r="P576" s="29">
        <v>13945</v>
      </c>
      <c r="Q576" s="29">
        <v>150</v>
      </c>
      <c r="R576" s="35">
        <v>1.0900000000000001</v>
      </c>
      <c r="S576" s="29">
        <v>7.5699999999999997E-4</v>
      </c>
      <c r="T576" s="29">
        <v>0.10528535</v>
      </c>
      <c r="U576" s="29">
        <v>20.9175</v>
      </c>
    </row>
    <row r="577" spans="7:21">
      <c r="G577" s="32">
        <v>20231215</v>
      </c>
      <c r="H577" s="32" t="s">
        <v>3438</v>
      </c>
      <c r="I577" s="33" t="s">
        <v>3439</v>
      </c>
      <c r="J577" s="2" t="s">
        <v>3440</v>
      </c>
      <c r="K577" s="2" t="s">
        <v>1723</v>
      </c>
      <c r="L577" s="2" t="s">
        <v>1724</v>
      </c>
      <c r="M577" s="29">
        <v>8355</v>
      </c>
      <c r="N577" s="29">
        <v>8435</v>
      </c>
      <c r="O577" s="29">
        <v>8340</v>
      </c>
      <c r="P577" s="29">
        <v>8430</v>
      </c>
      <c r="Q577" s="29">
        <v>215</v>
      </c>
      <c r="R577" s="35">
        <v>2.62</v>
      </c>
      <c r="S577" s="29">
        <v>7.4899999999999999E-4</v>
      </c>
      <c r="T577" s="29">
        <v>6.2952649999999999E-2</v>
      </c>
      <c r="U577" s="29">
        <v>370.92</v>
      </c>
    </row>
    <row r="578" spans="7:21">
      <c r="G578" s="32">
        <v>20231215</v>
      </c>
      <c r="H578" s="32" t="s">
        <v>3441</v>
      </c>
      <c r="I578" s="33" t="s">
        <v>3442</v>
      </c>
      <c r="J578" s="2" t="s">
        <v>3443</v>
      </c>
      <c r="K578" s="2" t="s">
        <v>1723</v>
      </c>
      <c r="L578" s="2" t="s">
        <v>1724</v>
      </c>
      <c r="M578" s="29">
        <v>50780</v>
      </c>
      <c r="N578" s="29">
        <v>50790</v>
      </c>
      <c r="O578" s="29">
        <v>50780</v>
      </c>
      <c r="P578" s="29">
        <v>50785</v>
      </c>
      <c r="Q578" s="29">
        <v>55</v>
      </c>
      <c r="R578" s="35">
        <v>0.11</v>
      </c>
      <c r="S578" s="29">
        <v>7.3099999999999999E-4</v>
      </c>
      <c r="T578" s="29">
        <v>0.37123224999999999</v>
      </c>
      <c r="U578" s="29">
        <v>1674.8893</v>
      </c>
    </row>
    <row r="579" spans="7:21">
      <c r="G579" s="32">
        <v>20231215</v>
      </c>
      <c r="H579" s="32" t="s">
        <v>3444</v>
      </c>
      <c r="I579" s="33" t="s">
        <v>3445</v>
      </c>
      <c r="J579" s="2" t="s">
        <v>3446</v>
      </c>
      <c r="K579" s="2" t="s">
        <v>1723</v>
      </c>
      <c r="L579" s="2" t="s">
        <v>1724</v>
      </c>
      <c r="M579" s="29">
        <v>12050</v>
      </c>
      <c r="N579" s="29">
        <v>12085</v>
      </c>
      <c r="O579" s="29">
        <v>12005</v>
      </c>
      <c r="P579" s="29">
        <v>12075</v>
      </c>
      <c r="Q579" s="29">
        <v>155</v>
      </c>
      <c r="R579" s="35">
        <v>1.3</v>
      </c>
      <c r="S579" s="29">
        <v>7.2999999999999996E-4</v>
      </c>
      <c r="T579" s="29">
        <v>8.8024149999999995E-2</v>
      </c>
      <c r="U579" s="29">
        <v>114.71250000000001</v>
      </c>
    </row>
    <row r="580" spans="7:21">
      <c r="G580" s="32">
        <v>20231215</v>
      </c>
      <c r="H580" s="32" t="s">
        <v>3447</v>
      </c>
      <c r="I580" s="33" t="s">
        <v>3448</v>
      </c>
      <c r="J580" s="2" t="s">
        <v>3449</v>
      </c>
      <c r="K580" s="2" t="s">
        <v>1723</v>
      </c>
      <c r="L580" s="2" t="s">
        <v>1724</v>
      </c>
      <c r="M580" s="29">
        <v>6185</v>
      </c>
      <c r="N580" s="29">
        <v>6230</v>
      </c>
      <c r="O580" s="29">
        <v>6150</v>
      </c>
      <c r="P580" s="29">
        <v>6200</v>
      </c>
      <c r="Q580" s="29">
        <v>75</v>
      </c>
      <c r="R580" s="35">
        <v>1.22</v>
      </c>
      <c r="S580" s="29">
        <v>7.1900000000000002E-4</v>
      </c>
      <c r="T580" s="29">
        <v>4.4580549999999997E-2</v>
      </c>
      <c r="U580" s="29">
        <v>62</v>
      </c>
    </row>
    <row r="581" spans="7:21">
      <c r="G581" s="32">
        <v>20231215</v>
      </c>
      <c r="H581" s="32" t="s">
        <v>3450</v>
      </c>
      <c r="I581" s="33" t="s">
        <v>3451</v>
      </c>
      <c r="J581" s="2" t="s">
        <v>3452</v>
      </c>
      <c r="K581" s="2" t="s">
        <v>1723</v>
      </c>
      <c r="L581" s="2" t="s">
        <v>1724</v>
      </c>
      <c r="M581" s="29">
        <v>80960</v>
      </c>
      <c r="N581" s="29">
        <v>81280</v>
      </c>
      <c r="O581" s="29">
        <v>80960</v>
      </c>
      <c r="P581" s="29">
        <v>81000</v>
      </c>
      <c r="Q581" s="29">
        <v>1530</v>
      </c>
      <c r="R581" s="35">
        <v>1.93</v>
      </c>
      <c r="S581" s="29">
        <v>7.1000000000000002E-4</v>
      </c>
      <c r="T581" s="29">
        <v>0.57558894999999999</v>
      </c>
      <c r="U581" s="29">
        <v>145.80000000000001</v>
      </c>
    </row>
    <row r="582" spans="7:21">
      <c r="G582" s="32">
        <v>20231215</v>
      </c>
      <c r="H582" s="32" t="s">
        <v>3453</v>
      </c>
      <c r="I582" s="33" t="s">
        <v>3454</v>
      </c>
      <c r="J582" s="2" t="s">
        <v>3455</v>
      </c>
      <c r="K582" s="2" t="s">
        <v>1723</v>
      </c>
      <c r="L582" s="2" t="s">
        <v>1724</v>
      </c>
      <c r="M582" s="29">
        <v>11595</v>
      </c>
      <c r="N582" s="29">
        <v>11750</v>
      </c>
      <c r="O582" s="29">
        <v>11595</v>
      </c>
      <c r="P582" s="29">
        <v>11710</v>
      </c>
      <c r="Q582" s="29">
        <v>85</v>
      </c>
      <c r="R582" s="35">
        <v>0.73</v>
      </c>
      <c r="S582" s="29">
        <v>7.1000000000000002E-4</v>
      </c>
      <c r="T582" s="29">
        <v>8.2743300000000006E-2</v>
      </c>
      <c r="U582" s="29">
        <v>81.97</v>
      </c>
    </row>
    <row r="583" spans="7:21">
      <c r="G583" s="32">
        <v>20231215</v>
      </c>
      <c r="H583" s="32" t="s">
        <v>3456</v>
      </c>
      <c r="I583" s="33" t="s">
        <v>3457</v>
      </c>
      <c r="J583" s="2" t="s">
        <v>3458</v>
      </c>
      <c r="K583" s="2" t="s">
        <v>1723</v>
      </c>
      <c r="L583" s="2" t="s">
        <v>1724</v>
      </c>
      <c r="M583" s="29">
        <v>10790</v>
      </c>
      <c r="N583" s="29">
        <v>10815</v>
      </c>
      <c r="O583" s="29">
        <v>10780</v>
      </c>
      <c r="P583" s="29">
        <v>10785</v>
      </c>
      <c r="Q583" s="29">
        <v>-5</v>
      </c>
      <c r="R583" s="35">
        <v>-0.05</v>
      </c>
      <c r="S583" s="29">
        <v>7.0399999999999998E-4</v>
      </c>
      <c r="T583" s="29">
        <v>7.6009800000000002E-2</v>
      </c>
      <c r="U583" s="29">
        <v>53.924999999999997</v>
      </c>
    </row>
    <row r="584" spans="7:21">
      <c r="G584" s="32">
        <v>20231215</v>
      </c>
      <c r="H584" s="32" t="s">
        <v>3459</v>
      </c>
      <c r="I584" s="33" t="s">
        <v>3460</v>
      </c>
      <c r="J584" s="2" t="s">
        <v>3461</v>
      </c>
      <c r="K584" s="2" t="s">
        <v>1723</v>
      </c>
      <c r="L584" s="2" t="s">
        <v>1724</v>
      </c>
      <c r="M584" s="29">
        <v>51960</v>
      </c>
      <c r="N584" s="29">
        <v>51995</v>
      </c>
      <c r="O584" s="29">
        <v>51895</v>
      </c>
      <c r="P584" s="29">
        <v>51980</v>
      </c>
      <c r="Q584" s="29">
        <v>155</v>
      </c>
      <c r="R584" s="35">
        <v>0.3</v>
      </c>
      <c r="S584" s="29">
        <v>6.9999999999999999E-4</v>
      </c>
      <c r="T584" s="29">
        <v>0.36379499999999998</v>
      </c>
      <c r="U584" s="29">
        <v>574.89880000000005</v>
      </c>
    </row>
    <row r="585" spans="7:21">
      <c r="G585" s="32">
        <v>20231215</v>
      </c>
      <c r="H585" s="32" t="s">
        <v>3462</v>
      </c>
      <c r="I585" s="33" t="s">
        <v>3463</v>
      </c>
      <c r="J585" s="2" t="s">
        <v>3464</v>
      </c>
      <c r="K585" s="2" t="s">
        <v>1723</v>
      </c>
      <c r="L585" s="2" t="s">
        <v>1724</v>
      </c>
      <c r="M585" s="29">
        <v>10885</v>
      </c>
      <c r="N585" s="29">
        <v>10930</v>
      </c>
      <c r="O585" s="29">
        <v>10660</v>
      </c>
      <c r="P585" s="29">
        <v>10660</v>
      </c>
      <c r="Q585" s="29">
        <v>-155</v>
      </c>
      <c r="R585" s="35">
        <v>-1.43</v>
      </c>
      <c r="S585" s="29">
        <v>6.9300000000000004E-4</v>
      </c>
      <c r="T585" s="29">
        <v>7.4619699999999997E-2</v>
      </c>
      <c r="U585" s="29">
        <v>106.6</v>
      </c>
    </row>
    <row r="586" spans="7:21">
      <c r="G586" s="32">
        <v>20231215</v>
      </c>
      <c r="H586" s="32" t="s">
        <v>3465</v>
      </c>
      <c r="I586" s="33" t="s">
        <v>3466</v>
      </c>
      <c r="J586" s="2" t="s">
        <v>3467</v>
      </c>
      <c r="K586" s="2" t="s">
        <v>1723</v>
      </c>
      <c r="L586" s="2" t="s">
        <v>1724</v>
      </c>
      <c r="M586" s="29">
        <v>2320</v>
      </c>
      <c r="N586" s="29">
        <v>2330</v>
      </c>
      <c r="O586" s="29">
        <v>2200</v>
      </c>
      <c r="P586" s="29">
        <v>2325</v>
      </c>
      <c r="Q586" s="29">
        <v>20</v>
      </c>
      <c r="R586" s="35">
        <v>0.87</v>
      </c>
      <c r="S586" s="29">
        <v>6.87E-4</v>
      </c>
      <c r="T586" s="29">
        <v>1.584735E-2</v>
      </c>
      <c r="U586" s="29">
        <v>23.25</v>
      </c>
    </row>
    <row r="587" spans="7:21">
      <c r="G587" s="32">
        <v>20231215</v>
      </c>
      <c r="H587" s="32" t="s">
        <v>3468</v>
      </c>
      <c r="I587" s="33" t="s">
        <v>3469</v>
      </c>
      <c r="J587" s="2" t="s">
        <v>3470</v>
      </c>
      <c r="K587" s="2" t="s">
        <v>1723</v>
      </c>
      <c r="L587" s="2" t="s">
        <v>1724</v>
      </c>
      <c r="M587" s="29">
        <v>5255</v>
      </c>
      <c r="N587" s="29">
        <v>5325</v>
      </c>
      <c r="O587" s="29">
        <v>5255</v>
      </c>
      <c r="P587" s="29">
        <v>5300</v>
      </c>
      <c r="Q587" s="29">
        <v>105</v>
      </c>
      <c r="R587" s="35">
        <v>2.02</v>
      </c>
      <c r="S587" s="29">
        <v>6.69E-4</v>
      </c>
      <c r="T587" s="29">
        <v>3.5467850000000002E-2</v>
      </c>
      <c r="U587" s="29">
        <v>26.5</v>
      </c>
    </row>
    <row r="588" spans="7:21">
      <c r="G588" s="32">
        <v>20231215</v>
      </c>
      <c r="H588" s="32" t="s">
        <v>3471</v>
      </c>
      <c r="I588" s="33" t="s">
        <v>3472</v>
      </c>
      <c r="J588" s="2" t="s">
        <v>3473</v>
      </c>
      <c r="K588" s="2" t="s">
        <v>1723</v>
      </c>
      <c r="L588" s="2" t="s">
        <v>1724</v>
      </c>
      <c r="M588" s="29">
        <v>114275</v>
      </c>
      <c r="N588" s="29">
        <v>114275</v>
      </c>
      <c r="O588" s="29">
        <v>114220</v>
      </c>
      <c r="P588" s="29">
        <v>114245</v>
      </c>
      <c r="Q588" s="29">
        <v>55</v>
      </c>
      <c r="R588" s="35">
        <v>0.05</v>
      </c>
      <c r="S588" s="29">
        <v>6.6500000000000001E-4</v>
      </c>
      <c r="T588" s="29">
        <v>0.75966060000000002</v>
      </c>
      <c r="U588" s="29">
        <v>182.792</v>
      </c>
    </row>
    <row r="589" spans="7:21">
      <c r="G589" s="32">
        <v>20231215</v>
      </c>
      <c r="H589" s="32" t="s">
        <v>3474</v>
      </c>
      <c r="I589" s="33" t="s">
        <v>3475</v>
      </c>
      <c r="J589" s="2" t="s">
        <v>3476</v>
      </c>
      <c r="K589" s="2" t="s">
        <v>1723</v>
      </c>
      <c r="L589" s="2" t="s">
        <v>1724</v>
      </c>
      <c r="M589" s="29">
        <v>12245</v>
      </c>
      <c r="N589" s="29">
        <v>12245</v>
      </c>
      <c r="O589" s="29">
        <v>12065</v>
      </c>
      <c r="P589" s="29">
        <v>12065</v>
      </c>
      <c r="Q589" s="29">
        <v>-105</v>
      </c>
      <c r="R589" s="35">
        <v>-0.86</v>
      </c>
      <c r="S589" s="29">
        <v>6.6399999999999999E-4</v>
      </c>
      <c r="T589" s="29">
        <v>8.0259750000000005E-2</v>
      </c>
      <c r="U589" s="29">
        <v>60.325000000000003</v>
      </c>
    </row>
    <row r="590" spans="7:21">
      <c r="G590" s="32">
        <v>20231215</v>
      </c>
      <c r="H590" s="32" t="s">
        <v>3477</v>
      </c>
      <c r="I590" s="33" t="s">
        <v>3478</v>
      </c>
      <c r="J590" s="2" t="s">
        <v>3479</v>
      </c>
      <c r="K590" s="2" t="s">
        <v>1723</v>
      </c>
      <c r="L590" s="2" t="s">
        <v>1724</v>
      </c>
      <c r="M590" s="29">
        <v>10755</v>
      </c>
      <c r="N590" s="29">
        <v>10815</v>
      </c>
      <c r="O590" s="29">
        <v>10755</v>
      </c>
      <c r="P590" s="29">
        <v>10785</v>
      </c>
      <c r="Q590" s="29">
        <v>-20</v>
      </c>
      <c r="R590" s="35">
        <v>-0.19</v>
      </c>
      <c r="S590" s="29">
        <v>6.6E-4</v>
      </c>
      <c r="T590" s="29">
        <v>7.1225049999999998E-2</v>
      </c>
      <c r="U590" s="29">
        <v>37.747500000000002</v>
      </c>
    </row>
    <row r="591" spans="7:21">
      <c r="G591" s="32">
        <v>20231215</v>
      </c>
      <c r="H591" s="32" t="s">
        <v>3480</v>
      </c>
      <c r="I591" s="33" t="s">
        <v>3481</v>
      </c>
      <c r="J591" s="2" t="s">
        <v>3482</v>
      </c>
      <c r="K591" s="2" t="s">
        <v>1723</v>
      </c>
      <c r="L591" s="2" t="s">
        <v>1724</v>
      </c>
      <c r="M591" s="29">
        <v>105095</v>
      </c>
      <c r="N591" s="29">
        <v>105095</v>
      </c>
      <c r="O591" s="29">
        <v>105030</v>
      </c>
      <c r="P591" s="29">
        <v>105070</v>
      </c>
      <c r="Q591" s="29">
        <v>5</v>
      </c>
      <c r="R591" s="35">
        <v>0</v>
      </c>
      <c r="S591" s="29">
        <v>6.5899999999999997E-4</v>
      </c>
      <c r="T591" s="29">
        <v>0.69246465000000001</v>
      </c>
      <c r="U591" s="29">
        <v>670.34659999999997</v>
      </c>
    </row>
    <row r="592" spans="7:21">
      <c r="G592" s="32">
        <v>20231215</v>
      </c>
      <c r="H592" s="32" t="s">
        <v>3483</v>
      </c>
      <c r="I592" s="33" t="s">
        <v>3484</v>
      </c>
      <c r="J592" s="2" t="s">
        <v>3485</v>
      </c>
      <c r="K592" s="2" t="s">
        <v>1723</v>
      </c>
      <c r="L592" s="2" t="s">
        <v>1724</v>
      </c>
      <c r="M592" s="29">
        <v>12925</v>
      </c>
      <c r="N592" s="29">
        <v>12940</v>
      </c>
      <c r="O592" s="29">
        <v>12860</v>
      </c>
      <c r="P592" s="29">
        <v>12875</v>
      </c>
      <c r="Q592" s="29">
        <v>-10</v>
      </c>
      <c r="R592" s="35">
        <v>-0.08</v>
      </c>
      <c r="S592" s="29">
        <v>6.5700000000000003E-4</v>
      </c>
      <c r="T592" s="29">
        <v>8.4822250000000002E-2</v>
      </c>
      <c r="U592" s="29">
        <v>15.45</v>
      </c>
    </row>
    <row r="593" spans="7:21">
      <c r="G593" s="32">
        <v>20231215</v>
      </c>
      <c r="H593" s="32" t="s">
        <v>3486</v>
      </c>
      <c r="I593" s="33" t="s">
        <v>3487</v>
      </c>
      <c r="J593" s="2" t="s">
        <v>3488</v>
      </c>
      <c r="K593" s="2" t="s">
        <v>1723</v>
      </c>
      <c r="L593" s="2" t="s">
        <v>1724</v>
      </c>
      <c r="M593" s="29">
        <v>10650</v>
      </c>
      <c r="N593" s="29">
        <v>10795</v>
      </c>
      <c r="O593" s="29">
        <v>10650</v>
      </c>
      <c r="P593" s="29">
        <v>10790</v>
      </c>
      <c r="Q593" s="29">
        <v>230</v>
      </c>
      <c r="R593" s="35">
        <v>2.1800000000000002</v>
      </c>
      <c r="S593" s="29">
        <v>6.5200000000000002E-4</v>
      </c>
      <c r="T593" s="29">
        <v>7.0077550000000002E-2</v>
      </c>
      <c r="U593" s="29">
        <v>53.95</v>
      </c>
    </row>
    <row r="594" spans="7:21">
      <c r="G594" s="32">
        <v>20231215</v>
      </c>
      <c r="H594" s="32" t="s">
        <v>3489</v>
      </c>
      <c r="I594" s="33" t="s">
        <v>3490</v>
      </c>
      <c r="J594" s="2" t="s">
        <v>3491</v>
      </c>
      <c r="K594" s="2" t="s">
        <v>1723</v>
      </c>
      <c r="L594" s="2" t="s">
        <v>1724</v>
      </c>
      <c r="M594" s="29">
        <v>11975</v>
      </c>
      <c r="N594" s="29">
        <v>11975</v>
      </c>
      <c r="O594" s="29">
        <v>11810</v>
      </c>
      <c r="P594" s="29">
        <v>11810</v>
      </c>
      <c r="Q594" s="29">
        <v>-160</v>
      </c>
      <c r="R594" s="35">
        <v>-1.34</v>
      </c>
      <c r="S594" s="29">
        <v>6.3699999999999998E-4</v>
      </c>
      <c r="T594" s="29">
        <v>7.5643550000000004E-2</v>
      </c>
      <c r="U594" s="29">
        <v>70.86</v>
      </c>
    </row>
    <row r="595" spans="7:21">
      <c r="G595" s="32">
        <v>20231215</v>
      </c>
      <c r="H595" s="32" t="s">
        <v>3492</v>
      </c>
      <c r="I595" s="33" t="s">
        <v>3493</v>
      </c>
      <c r="J595" s="2" t="s">
        <v>3494</v>
      </c>
      <c r="K595" s="2" t="s">
        <v>1723</v>
      </c>
      <c r="L595" s="2" t="s">
        <v>1724</v>
      </c>
      <c r="M595" s="29">
        <v>5820</v>
      </c>
      <c r="N595" s="29">
        <v>5820</v>
      </c>
      <c r="O595" s="29">
        <v>5700</v>
      </c>
      <c r="P595" s="29">
        <v>5750</v>
      </c>
      <c r="Q595" s="29">
        <v>-45</v>
      </c>
      <c r="R595" s="35">
        <v>-0.78</v>
      </c>
      <c r="S595" s="29">
        <v>6.3299999999999999E-4</v>
      </c>
      <c r="T595" s="29">
        <v>3.6227549999999997E-2</v>
      </c>
      <c r="U595" s="29">
        <v>149.5</v>
      </c>
    </row>
    <row r="596" spans="7:21">
      <c r="G596" s="32">
        <v>20231215</v>
      </c>
      <c r="H596" s="32" t="s">
        <v>3495</v>
      </c>
      <c r="I596" s="33" t="s">
        <v>3496</v>
      </c>
      <c r="J596" s="2" t="s">
        <v>3497</v>
      </c>
      <c r="K596" s="2" t="s">
        <v>1723</v>
      </c>
      <c r="L596" s="2" t="s">
        <v>1724</v>
      </c>
      <c r="M596" s="29">
        <v>11355</v>
      </c>
      <c r="N596" s="29">
        <v>11445</v>
      </c>
      <c r="O596" s="29">
        <v>11350</v>
      </c>
      <c r="P596" s="29">
        <v>11445</v>
      </c>
      <c r="Q596" s="29">
        <v>60</v>
      </c>
      <c r="R596" s="35">
        <v>0.53</v>
      </c>
      <c r="S596" s="29">
        <v>6.1899999999999998E-4</v>
      </c>
      <c r="T596" s="29">
        <v>7.0508150000000006E-2</v>
      </c>
      <c r="U596" s="29">
        <v>74.392499999999998</v>
      </c>
    </row>
    <row r="597" spans="7:21">
      <c r="G597" s="32">
        <v>20231215</v>
      </c>
      <c r="H597" s="32" t="s">
        <v>3498</v>
      </c>
      <c r="I597" s="33" t="s">
        <v>3499</v>
      </c>
      <c r="J597" s="2" t="s">
        <v>3500</v>
      </c>
      <c r="K597" s="2" t="s">
        <v>1723</v>
      </c>
      <c r="L597" s="2" t="s">
        <v>1724</v>
      </c>
      <c r="M597" s="29">
        <v>10865</v>
      </c>
      <c r="N597" s="29">
        <v>10995</v>
      </c>
      <c r="O597" s="29">
        <v>10860</v>
      </c>
      <c r="P597" s="29">
        <v>10995</v>
      </c>
      <c r="Q597" s="29">
        <v>130</v>
      </c>
      <c r="R597" s="35">
        <v>1.2</v>
      </c>
      <c r="S597" s="29">
        <v>6.1200000000000002E-4</v>
      </c>
      <c r="T597" s="29">
        <v>6.706935E-2</v>
      </c>
      <c r="U597" s="29">
        <v>560.745</v>
      </c>
    </row>
    <row r="598" spans="7:21">
      <c r="G598" s="32">
        <v>20231215</v>
      </c>
      <c r="H598" s="32" t="s">
        <v>3501</v>
      </c>
      <c r="I598" s="33" t="s">
        <v>3502</v>
      </c>
      <c r="J598" s="2" t="s">
        <v>3503</v>
      </c>
      <c r="K598" s="2" t="s">
        <v>1723</v>
      </c>
      <c r="L598" s="2" t="s">
        <v>1724</v>
      </c>
      <c r="M598" s="29">
        <v>54295</v>
      </c>
      <c r="N598" s="29">
        <v>54345</v>
      </c>
      <c r="O598" s="29">
        <v>54205</v>
      </c>
      <c r="P598" s="29">
        <v>54305</v>
      </c>
      <c r="Q598" s="29">
        <v>-70</v>
      </c>
      <c r="R598" s="35">
        <v>-0.13</v>
      </c>
      <c r="S598" s="29">
        <v>6.0800000000000003E-4</v>
      </c>
      <c r="T598" s="29">
        <v>0.33001130000000001</v>
      </c>
      <c r="U598" s="29">
        <v>543.04999999999995</v>
      </c>
    </row>
    <row r="599" spans="7:21">
      <c r="G599" s="32">
        <v>20231215</v>
      </c>
      <c r="H599" s="32" t="s">
        <v>3504</v>
      </c>
      <c r="I599" s="33" t="s">
        <v>3505</v>
      </c>
      <c r="J599" s="2" t="s">
        <v>3506</v>
      </c>
      <c r="K599" s="2" t="s">
        <v>1723</v>
      </c>
      <c r="L599" s="2" t="s">
        <v>1724</v>
      </c>
      <c r="M599" s="29">
        <v>9350</v>
      </c>
      <c r="N599" s="29">
        <v>9550</v>
      </c>
      <c r="O599" s="29">
        <v>9350</v>
      </c>
      <c r="P599" s="29">
        <v>9550</v>
      </c>
      <c r="Q599" s="29">
        <v>165</v>
      </c>
      <c r="R599" s="35">
        <v>1.76</v>
      </c>
      <c r="S599" s="29">
        <v>5.9699999999999998E-4</v>
      </c>
      <c r="T599" s="29">
        <v>5.6253600000000001E-2</v>
      </c>
      <c r="U599" s="29">
        <v>47.75</v>
      </c>
    </row>
    <row r="600" spans="7:21">
      <c r="G600" s="32">
        <v>20231215</v>
      </c>
      <c r="H600" s="32" t="s">
        <v>3507</v>
      </c>
      <c r="I600" s="33" t="s">
        <v>3508</v>
      </c>
      <c r="J600" s="2" t="s">
        <v>3509</v>
      </c>
      <c r="K600" s="2" t="s">
        <v>1723</v>
      </c>
      <c r="L600" s="2" t="s">
        <v>1724</v>
      </c>
      <c r="M600" s="29">
        <v>10790</v>
      </c>
      <c r="N600" s="29">
        <v>10790</v>
      </c>
      <c r="O600" s="29">
        <v>10630</v>
      </c>
      <c r="P600" s="29">
        <v>10700</v>
      </c>
      <c r="Q600" s="29">
        <v>-90</v>
      </c>
      <c r="R600" s="35">
        <v>-0.83</v>
      </c>
      <c r="S600" s="29">
        <v>5.9400000000000002E-4</v>
      </c>
      <c r="T600" s="29">
        <v>6.3478300000000001E-2</v>
      </c>
      <c r="U600" s="29">
        <v>42.8</v>
      </c>
    </row>
    <row r="601" spans="7:21">
      <c r="G601" s="32">
        <v>20231215</v>
      </c>
      <c r="H601" s="32" t="s">
        <v>3510</v>
      </c>
      <c r="I601" s="33" t="s">
        <v>3511</v>
      </c>
      <c r="J601" s="2" t="s">
        <v>3512</v>
      </c>
      <c r="K601" s="2" t="s">
        <v>1723</v>
      </c>
      <c r="L601" s="2" t="s">
        <v>1724</v>
      </c>
      <c r="M601" s="29">
        <v>8350</v>
      </c>
      <c r="N601" s="29">
        <v>8415</v>
      </c>
      <c r="O601" s="29">
        <v>8350</v>
      </c>
      <c r="P601" s="29">
        <v>8415</v>
      </c>
      <c r="Q601" s="29">
        <v>80</v>
      </c>
      <c r="R601" s="35">
        <v>0.96</v>
      </c>
      <c r="S601" s="29">
        <v>5.9299999999999999E-4</v>
      </c>
      <c r="T601" s="29">
        <v>4.9688250000000003E-2</v>
      </c>
      <c r="U601" s="29">
        <v>50.49</v>
      </c>
    </row>
    <row r="602" spans="7:21">
      <c r="G602" s="32">
        <v>20231215</v>
      </c>
      <c r="H602" s="32" t="s">
        <v>3513</v>
      </c>
      <c r="I602" s="33" t="s">
        <v>3514</v>
      </c>
      <c r="J602" s="2" t="s">
        <v>3515</v>
      </c>
      <c r="K602" s="2" t="s">
        <v>1723</v>
      </c>
      <c r="L602" s="2" t="s">
        <v>1724</v>
      </c>
      <c r="M602" s="29">
        <v>8390</v>
      </c>
      <c r="N602" s="29">
        <v>8410</v>
      </c>
      <c r="O602" s="29">
        <v>8325</v>
      </c>
      <c r="P602" s="29">
        <v>8325</v>
      </c>
      <c r="Q602" s="29">
        <v>-5</v>
      </c>
      <c r="R602" s="35">
        <v>-0.06</v>
      </c>
      <c r="S602" s="29">
        <v>5.8500000000000002E-4</v>
      </c>
      <c r="T602" s="29">
        <v>4.9041700000000001E-2</v>
      </c>
      <c r="U602" s="29">
        <v>324.67500000000001</v>
      </c>
    </row>
    <row r="603" spans="7:21">
      <c r="G603" s="32">
        <v>20231215</v>
      </c>
      <c r="H603" s="32" t="s">
        <v>3516</v>
      </c>
      <c r="I603" s="33" t="s">
        <v>3517</v>
      </c>
      <c r="J603" s="2" t="s">
        <v>3518</v>
      </c>
      <c r="K603" s="2" t="s">
        <v>1723</v>
      </c>
      <c r="L603" s="2" t="s">
        <v>1724</v>
      </c>
      <c r="M603" s="29">
        <v>110550</v>
      </c>
      <c r="N603" s="29">
        <v>110550</v>
      </c>
      <c r="O603" s="29">
        <v>109940</v>
      </c>
      <c r="P603" s="29">
        <v>110035</v>
      </c>
      <c r="Q603" s="29">
        <v>-520</v>
      </c>
      <c r="R603" s="35">
        <v>-0.47</v>
      </c>
      <c r="S603" s="29">
        <v>5.7200000000000003E-4</v>
      </c>
      <c r="T603" s="29">
        <v>0.63020944999999995</v>
      </c>
      <c r="U603" s="29">
        <v>154.04900000000001</v>
      </c>
    </row>
    <row r="604" spans="7:21">
      <c r="G604" s="32">
        <v>20231215</v>
      </c>
      <c r="H604" s="32" t="s">
        <v>3519</v>
      </c>
      <c r="I604" s="33" t="s">
        <v>3520</v>
      </c>
      <c r="J604" s="2" t="s">
        <v>3521</v>
      </c>
      <c r="K604" s="2" t="s">
        <v>1723</v>
      </c>
      <c r="L604" s="2" t="s">
        <v>1724</v>
      </c>
      <c r="M604" s="29">
        <v>10765</v>
      </c>
      <c r="N604" s="29">
        <v>10920</v>
      </c>
      <c r="O604" s="29">
        <v>10630</v>
      </c>
      <c r="P604" s="29">
        <v>10630</v>
      </c>
      <c r="Q604" s="29">
        <v>-130</v>
      </c>
      <c r="R604" s="35">
        <v>-1.21</v>
      </c>
      <c r="S604" s="29">
        <v>5.6499999999999996E-4</v>
      </c>
      <c r="T604" s="29">
        <v>6.0435700000000002E-2</v>
      </c>
      <c r="U604" s="29">
        <v>95.67</v>
      </c>
    </row>
    <row r="605" spans="7:21">
      <c r="G605" s="32">
        <v>20231215</v>
      </c>
      <c r="H605" s="32" t="s">
        <v>3522</v>
      </c>
      <c r="I605" s="33" t="s">
        <v>3523</v>
      </c>
      <c r="J605" s="2" t="s">
        <v>3524</v>
      </c>
      <c r="K605" s="2" t="s">
        <v>1723</v>
      </c>
      <c r="L605" s="2" t="s">
        <v>1724</v>
      </c>
      <c r="M605" s="29">
        <v>13935</v>
      </c>
      <c r="N605" s="29">
        <v>13995</v>
      </c>
      <c r="O605" s="29">
        <v>13930</v>
      </c>
      <c r="P605" s="29">
        <v>13995</v>
      </c>
      <c r="Q605" s="29">
        <v>360</v>
      </c>
      <c r="R605" s="35">
        <v>2.64</v>
      </c>
      <c r="S605" s="29">
        <v>5.6300000000000002E-4</v>
      </c>
      <c r="T605" s="29">
        <v>7.8499849999999996E-2</v>
      </c>
      <c r="U605" s="29">
        <v>69.974999999999994</v>
      </c>
    </row>
    <row r="606" spans="7:21">
      <c r="G606" s="32">
        <v>20231215</v>
      </c>
      <c r="H606" s="32" t="s">
        <v>3525</v>
      </c>
      <c r="I606" s="33" t="s">
        <v>3526</v>
      </c>
      <c r="J606" s="2" t="s">
        <v>3527</v>
      </c>
      <c r="K606" s="2" t="s">
        <v>1723</v>
      </c>
      <c r="L606" s="2" t="s">
        <v>1724</v>
      </c>
      <c r="M606" s="29">
        <v>8545</v>
      </c>
      <c r="N606" s="29">
        <v>8710</v>
      </c>
      <c r="O606" s="29">
        <v>8540</v>
      </c>
      <c r="P606" s="29">
        <v>8690</v>
      </c>
      <c r="Q606" s="29">
        <v>155</v>
      </c>
      <c r="R606" s="35">
        <v>1.82</v>
      </c>
      <c r="S606" s="29">
        <v>5.5400000000000002E-4</v>
      </c>
      <c r="T606" s="29">
        <v>4.79307E-2</v>
      </c>
      <c r="U606" s="29">
        <v>60.83</v>
      </c>
    </row>
    <row r="607" spans="7:21">
      <c r="G607" s="32">
        <v>20231215</v>
      </c>
      <c r="H607" s="32" t="s">
        <v>3528</v>
      </c>
      <c r="I607" s="33" t="s">
        <v>3529</v>
      </c>
      <c r="J607" s="2" t="s">
        <v>3530</v>
      </c>
      <c r="K607" s="2" t="s">
        <v>1723</v>
      </c>
      <c r="L607" s="2" t="s">
        <v>1724</v>
      </c>
      <c r="M607" s="29">
        <v>10095</v>
      </c>
      <c r="N607" s="29">
        <v>10100</v>
      </c>
      <c r="O607" s="29">
        <v>10075</v>
      </c>
      <c r="P607" s="29">
        <v>10085</v>
      </c>
      <c r="Q607" s="29">
        <v>-15</v>
      </c>
      <c r="R607" s="35">
        <v>-0.15</v>
      </c>
      <c r="S607" s="29">
        <v>5.44E-4</v>
      </c>
      <c r="T607" s="29">
        <v>5.4864200000000002E-2</v>
      </c>
      <c r="U607" s="29">
        <v>100.85</v>
      </c>
    </row>
    <row r="608" spans="7:21">
      <c r="G608" s="32">
        <v>20231215</v>
      </c>
      <c r="H608" s="32" t="s">
        <v>3531</v>
      </c>
      <c r="I608" s="33" t="s">
        <v>3532</v>
      </c>
      <c r="J608" s="2" t="s">
        <v>3533</v>
      </c>
      <c r="K608" s="2" t="s">
        <v>1723</v>
      </c>
      <c r="L608" s="2" t="s">
        <v>1724</v>
      </c>
      <c r="M608" s="29">
        <v>12860</v>
      </c>
      <c r="N608" s="29">
        <v>12905</v>
      </c>
      <c r="O608" s="29">
        <v>12845</v>
      </c>
      <c r="P608" s="29">
        <v>12905</v>
      </c>
      <c r="Q608" s="29">
        <v>-145</v>
      </c>
      <c r="R608" s="35">
        <v>-1.1100000000000001</v>
      </c>
      <c r="S608" s="29">
        <v>5.4100000000000003E-4</v>
      </c>
      <c r="T608" s="29">
        <v>6.9707749999999999E-2</v>
      </c>
      <c r="U608" s="29">
        <v>77.430000000000007</v>
      </c>
    </row>
    <row r="609" spans="7:21">
      <c r="G609" s="32">
        <v>20231215</v>
      </c>
      <c r="H609" s="32" t="s">
        <v>3534</v>
      </c>
      <c r="I609" s="33" t="s">
        <v>3535</v>
      </c>
      <c r="J609" s="2" t="s">
        <v>3536</v>
      </c>
      <c r="K609" s="2" t="s">
        <v>1723</v>
      </c>
      <c r="L609" s="2" t="s">
        <v>1724</v>
      </c>
      <c r="M609" s="29">
        <v>11560</v>
      </c>
      <c r="N609" s="29">
        <v>11600</v>
      </c>
      <c r="O609" s="29">
        <v>11510</v>
      </c>
      <c r="P609" s="29">
        <v>11600</v>
      </c>
      <c r="Q609" s="29">
        <v>-20</v>
      </c>
      <c r="R609" s="35">
        <v>-0.17</v>
      </c>
      <c r="S609" s="29">
        <v>5.3399999999999997E-4</v>
      </c>
      <c r="T609" s="29">
        <v>6.1853949999999998E-2</v>
      </c>
      <c r="U609" s="29">
        <v>74.239999999999995</v>
      </c>
    </row>
    <row r="610" spans="7:21">
      <c r="G610" s="32">
        <v>20231215</v>
      </c>
      <c r="H610" s="32" t="s">
        <v>3537</v>
      </c>
      <c r="I610" s="33" t="s">
        <v>3538</v>
      </c>
      <c r="J610" s="2" t="s">
        <v>3539</v>
      </c>
      <c r="K610" s="2" t="s">
        <v>1723</v>
      </c>
      <c r="L610" s="2" t="s">
        <v>1724</v>
      </c>
      <c r="M610" s="29">
        <v>31035</v>
      </c>
      <c r="N610" s="29">
        <v>31860</v>
      </c>
      <c r="O610" s="29">
        <v>31035</v>
      </c>
      <c r="P610" s="29">
        <v>31430</v>
      </c>
      <c r="Q610" s="29">
        <v>510</v>
      </c>
      <c r="R610" s="35">
        <v>1.65</v>
      </c>
      <c r="S610" s="29">
        <v>5.31E-4</v>
      </c>
      <c r="T610" s="29">
        <v>0.16748145</v>
      </c>
      <c r="U610" s="29">
        <v>78.575000000000003</v>
      </c>
    </row>
    <row r="611" spans="7:21">
      <c r="G611" s="32">
        <v>20231215</v>
      </c>
      <c r="H611" s="32" t="s">
        <v>3540</v>
      </c>
      <c r="I611" s="33" t="s">
        <v>3541</v>
      </c>
      <c r="J611" s="2" t="s">
        <v>3542</v>
      </c>
      <c r="K611" s="2" t="s">
        <v>1723</v>
      </c>
      <c r="L611" s="2" t="s">
        <v>1724</v>
      </c>
      <c r="M611" s="29">
        <v>11150</v>
      </c>
      <c r="N611" s="29">
        <v>11175</v>
      </c>
      <c r="O611" s="29">
        <v>11120</v>
      </c>
      <c r="P611" s="29">
        <v>11120</v>
      </c>
      <c r="Q611" s="29">
        <v>15</v>
      </c>
      <c r="R611" s="35">
        <v>0.14000000000000001</v>
      </c>
      <c r="S611" s="29">
        <v>5.2099999999999998E-4</v>
      </c>
      <c r="T611" s="29">
        <v>5.8070249999999997E-2</v>
      </c>
      <c r="U611" s="29">
        <v>122.32</v>
      </c>
    </row>
    <row r="612" spans="7:21">
      <c r="G612" s="32">
        <v>20231215</v>
      </c>
      <c r="H612" s="32" t="s">
        <v>3543</v>
      </c>
      <c r="I612" s="33" t="s">
        <v>3544</v>
      </c>
      <c r="J612" s="2" t="s">
        <v>3545</v>
      </c>
      <c r="K612" s="2" t="s">
        <v>1723</v>
      </c>
      <c r="L612" s="2" t="s">
        <v>1724</v>
      </c>
      <c r="M612" s="29">
        <v>10470</v>
      </c>
      <c r="N612" s="29">
        <v>10470</v>
      </c>
      <c r="O612" s="29">
        <v>10445</v>
      </c>
      <c r="P612" s="29">
        <v>10460</v>
      </c>
      <c r="Q612" s="29">
        <v>20</v>
      </c>
      <c r="R612" s="35">
        <v>0.19</v>
      </c>
      <c r="S612" s="29">
        <v>5.2099999999999998E-4</v>
      </c>
      <c r="T612" s="29">
        <v>5.4496650000000001E-2</v>
      </c>
      <c r="U612" s="29">
        <v>84.725999999999999</v>
      </c>
    </row>
    <row r="613" spans="7:21">
      <c r="G613" s="32">
        <v>20231215</v>
      </c>
      <c r="H613" s="32" t="s">
        <v>3546</v>
      </c>
      <c r="I613" s="33" t="s">
        <v>3547</v>
      </c>
      <c r="J613" s="2" t="s">
        <v>3548</v>
      </c>
      <c r="K613" s="2" t="s">
        <v>1723</v>
      </c>
      <c r="L613" s="2" t="s">
        <v>1724</v>
      </c>
      <c r="M613" s="29">
        <v>26330</v>
      </c>
      <c r="N613" s="29">
        <v>26340</v>
      </c>
      <c r="O613" s="29">
        <v>26160</v>
      </c>
      <c r="P613" s="29">
        <v>26160</v>
      </c>
      <c r="Q613" s="29">
        <v>55</v>
      </c>
      <c r="R613" s="35">
        <v>0.21</v>
      </c>
      <c r="S613" s="29">
        <v>5.1900000000000004E-4</v>
      </c>
      <c r="T613" s="29">
        <v>0.13645895</v>
      </c>
      <c r="U613" s="29">
        <v>65.400000000000006</v>
      </c>
    </row>
    <row r="614" spans="7:21">
      <c r="G614" s="32">
        <v>20231215</v>
      </c>
      <c r="H614" s="32" t="s">
        <v>3549</v>
      </c>
      <c r="I614" s="33" t="s">
        <v>3550</v>
      </c>
      <c r="J614" s="2" t="s">
        <v>3551</v>
      </c>
      <c r="K614" s="2" t="s">
        <v>1723</v>
      </c>
      <c r="L614" s="2" t="s">
        <v>1724</v>
      </c>
      <c r="M614" s="29">
        <v>10520</v>
      </c>
      <c r="N614" s="29">
        <v>10585</v>
      </c>
      <c r="O614" s="29">
        <v>10505</v>
      </c>
      <c r="P614" s="29">
        <v>10505</v>
      </c>
      <c r="Q614" s="29">
        <v>15</v>
      </c>
      <c r="R614" s="35">
        <v>0.14000000000000001</v>
      </c>
      <c r="S614" s="29">
        <v>5.1199999999999998E-4</v>
      </c>
      <c r="T614" s="29">
        <v>5.4015599999999997E-2</v>
      </c>
      <c r="U614" s="29">
        <v>52.524999999999999</v>
      </c>
    </row>
    <row r="615" spans="7:21">
      <c r="G615" s="32">
        <v>20231215</v>
      </c>
      <c r="H615" s="32" t="s">
        <v>3552</v>
      </c>
      <c r="I615" s="33" t="s">
        <v>3553</v>
      </c>
      <c r="J615" s="2" t="s">
        <v>3554</v>
      </c>
      <c r="K615" s="2" t="s">
        <v>1723</v>
      </c>
      <c r="L615" s="2" t="s">
        <v>1724</v>
      </c>
      <c r="M615" s="29">
        <v>99360</v>
      </c>
      <c r="N615" s="29">
        <v>99460</v>
      </c>
      <c r="O615" s="29">
        <v>99335</v>
      </c>
      <c r="P615" s="29">
        <v>99335</v>
      </c>
      <c r="Q615" s="29">
        <v>-140</v>
      </c>
      <c r="R615" s="35">
        <v>-0.14000000000000001</v>
      </c>
      <c r="S615" s="29">
        <v>5.0699999999999996E-4</v>
      </c>
      <c r="T615" s="29">
        <v>0.50385349999999995</v>
      </c>
      <c r="U615" s="29">
        <v>5723.6827000000003</v>
      </c>
    </row>
    <row r="616" spans="7:21">
      <c r="G616" s="32">
        <v>20231215</v>
      </c>
      <c r="H616" s="32" t="s">
        <v>3555</v>
      </c>
      <c r="I616" s="33" t="s">
        <v>3556</v>
      </c>
      <c r="J616" s="2" t="s">
        <v>3557</v>
      </c>
      <c r="K616" s="2" t="s">
        <v>1723</v>
      </c>
      <c r="L616" s="2" t="s">
        <v>1724</v>
      </c>
      <c r="M616" s="29">
        <v>34935</v>
      </c>
      <c r="N616" s="29">
        <v>35005</v>
      </c>
      <c r="O616" s="29">
        <v>34725</v>
      </c>
      <c r="P616" s="29">
        <v>34735</v>
      </c>
      <c r="Q616" s="29">
        <v>195</v>
      </c>
      <c r="R616" s="35">
        <v>0.56000000000000005</v>
      </c>
      <c r="S616" s="29">
        <v>5.0100000000000003E-4</v>
      </c>
      <c r="T616" s="29">
        <v>0.17497465000000001</v>
      </c>
      <c r="U616" s="29">
        <v>69.47</v>
      </c>
    </row>
    <row r="617" spans="7:21">
      <c r="G617" s="32">
        <v>20231215</v>
      </c>
      <c r="H617" s="32" t="s">
        <v>3558</v>
      </c>
      <c r="I617" s="33" t="s">
        <v>3559</v>
      </c>
      <c r="J617" s="2" t="s">
        <v>3560</v>
      </c>
      <c r="K617" s="2" t="s">
        <v>1723</v>
      </c>
      <c r="L617" s="2" t="s">
        <v>1724</v>
      </c>
      <c r="M617" s="29">
        <v>11315</v>
      </c>
      <c r="N617" s="29">
        <v>11330</v>
      </c>
      <c r="O617" s="29">
        <v>11285</v>
      </c>
      <c r="P617" s="29">
        <v>11295</v>
      </c>
      <c r="Q617" s="29">
        <v>115</v>
      </c>
      <c r="R617" s="35">
        <v>1.03</v>
      </c>
      <c r="S617" s="29">
        <v>5.0000000000000001E-4</v>
      </c>
      <c r="T617" s="29">
        <v>5.6572999999999998E-2</v>
      </c>
      <c r="U617" s="29">
        <v>45.18</v>
      </c>
    </row>
    <row r="618" spans="7:21">
      <c r="G618" s="32">
        <v>20231215</v>
      </c>
      <c r="H618" s="32" t="s">
        <v>3561</v>
      </c>
      <c r="I618" s="33" t="s">
        <v>3562</v>
      </c>
      <c r="J618" s="2" t="s">
        <v>3563</v>
      </c>
      <c r="K618" s="2" t="s">
        <v>1723</v>
      </c>
      <c r="L618" s="2" t="s">
        <v>1724</v>
      </c>
      <c r="M618" s="29">
        <v>102515</v>
      </c>
      <c r="N618" s="29">
        <v>102515</v>
      </c>
      <c r="O618" s="29">
        <v>101430</v>
      </c>
      <c r="P618" s="29">
        <v>101455</v>
      </c>
      <c r="Q618" s="29">
        <v>-65</v>
      </c>
      <c r="R618" s="35">
        <v>-0.06</v>
      </c>
      <c r="S618" s="29">
        <v>4.9399999999999997E-4</v>
      </c>
      <c r="T618" s="29">
        <v>0.50296134999999997</v>
      </c>
      <c r="U618" s="29">
        <v>3544.8377</v>
      </c>
    </row>
    <row r="619" spans="7:21">
      <c r="G619" s="32">
        <v>20231215</v>
      </c>
      <c r="H619" s="32" t="s">
        <v>3564</v>
      </c>
      <c r="I619" s="33" t="s">
        <v>3565</v>
      </c>
      <c r="J619" s="2" t="s">
        <v>3566</v>
      </c>
      <c r="K619" s="2" t="s">
        <v>1723</v>
      </c>
      <c r="L619" s="2" t="s">
        <v>1724</v>
      </c>
      <c r="M619" s="29">
        <v>11845</v>
      </c>
      <c r="N619" s="29">
        <v>12030</v>
      </c>
      <c r="O619" s="29">
        <v>11760</v>
      </c>
      <c r="P619" s="29">
        <v>11980</v>
      </c>
      <c r="Q619" s="29">
        <v>160</v>
      </c>
      <c r="R619" s="35">
        <v>1.35</v>
      </c>
      <c r="S619" s="29">
        <v>4.7800000000000002E-4</v>
      </c>
      <c r="T619" s="29">
        <v>5.6805300000000003E-2</v>
      </c>
      <c r="U619" s="29">
        <v>179.7</v>
      </c>
    </row>
    <row r="620" spans="7:21">
      <c r="G620" s="32">
        <v>20231215</v>
      </c>
      <c r="H620" s="32" t="s">
        <v>3567</v>
      </c>
      <c r="I620" s="33" t="s">
        <v>3568</v>
      </c>
      <c r="J620" s="2" t="s">
        <v>3569</v>
      </c>
      <c r="K620" s="2" t="s">
        <v>1723</v>
      </c>
      <c r="L620" s="2" t="s">
        <v>1724</v>
      </c>
      <c r="M620" s="29">
        <v>10555</v>
      </c>
      <c r="N620" s="29">
        <v>10580</v>
      </c>
      <c r="O620" s="29">
        <v>10535</v>
      </c>
      <c r="P620" s="29">
        <v>10535</v>
      </c>
      <c r="Q620" s="29">
        <v>120</v>
      </c>
      <c r="R620" s="35">
        <v>1.1499999999999999</v>
      </c>
      <c r="S620" s="29">
        <v>4.64E-4</v>
      </c>
      <c r="T620" s="29">
        <v>4.8900449999999998E-2</v>
      </c>
      <c r="U620" s="29">
        <v>57.942500000000003</v>
      </c>
    </row>
    <row r="621" spans="7:21">
      <c r="G621" s="32">
        <v>20231215</v>
      </c>
      <c r="H621" s="32" t="s">
        <v>3570</v>
      </c>
      <c r="I621" s="33" t="s">
        <v>3571</v>
      </c>
      <c r="J621" s="2" t="s">
        <v>3572</v>
      </c>
      <c r="K621" s="2" t="s">
        <v>1723</v>
      </c>
      <c r="L621" s="2" t="s">
        <v>1724</v>
      </c>
      <c r="M621" s="29">
        <v>103680</v>
      </c>
      <c r="N621" s="29">
        <v>103770</v>
      </c>
      <c r="O621" s="29">
        <v>103680</v>
      </c>
      <c r="P621" s="29">
        <v>103685</v>
      </c>
      <c r="Q621" s="29">
        <v>5</v>
      </c>
      <c r="R621" s="35">
        <v>0</v>
      </c>
      <c r="S621" s="29">
        <v>4.4999999999999999E-4</v>
      </c>
      <c r="T621" s="29">
        <v>0.46680749999999999</v>
      </c>
      <c r="U621" s="29">
        <v>250.9177</v>
      </c>
    </row>
    <row r="622" spans="7:21">
      <c r="G622" s="32">
        <v>20231215</v>
      </c>
      <c r="H622" s="32" t="s">
        <v>3573</v>
      </c>
      <c r="I622" s="33" t="s">
        <v>3574</v>
      </c>
      <c r="J622" s="2" t="s">
        <v>3575</v>
      </c>
      <c r="K622" s="2" t="s">
        <v>1723</v>
      </c>
      <c r="L622" s="2" t="s">
        <v>1724</v>
      </c>
      <c r="M622" s="29">
        <v>10875</v>
      </c>
      <c r="N622" s="29">
        <v>10905</v>
      </c>
      <c r="O622" s="29">
        <v>10850</v>
      </c>
      <c r="P622" s="29">
        <v>10905</v>
      </c>
      <c r="Q622" s="29">
        <v>-85</v>
      </c>
      <c r="R622" s="35">
        <v>-0.77</v>
      </c>
      <c r="S622" s="29">
        <v>4.3899999999999999E-4</v>
      </c>
      <c r="T622" s="29">
        <v>4.7694899999999998E-2</v>
      </c>
      <c r="U622" s="29">
        <v>81.787499999999994</v>
      </c>
    </row>
    <row r="623" spans="7:21">
      <c r="G623" s="32">
        <v>20231215</v>
      </c>
      <c r="H623" s="32" t="s">
        <v>3576</v>
      </c>
      <c r="I623" s="33" t="s">
        <v>3577</v>
      </c>
      <c r="J623" s="2" t="s">
        <v>3578</v>
      </c>
      <c r="K623" s="2" t="s">
        <v>1723</v>
      </c>
      <c r="L623" s="2" t="s">
        <v>1724</v>
      </c>
      <c r="M623" s="29">
        <v>9745</v>
      </c>
      <c r="N623" s="29">
        <v>9780</v>
      </c>
      <c r="O623" s="29">
        <v>9690</v>
      </c>
      <c r="P623" s="29">
        <v>9705</v>
      </c>
      <c r="Q623" s="29">
        <v>-155</v>
      </c>
      <c r="R623" s="35">
        <v>-1.57</v>
      </c>
      <c r="S623" s="29">
        <v>4.37E-4</v>
      </c>
      <c r="T623" s="29">
        <v>4.2477550000000003E-2</v>
      </c>
      <c r="U623" s="29">
        <v>97.05</v>
      </c>
    </row>
    <row r="624" spans="7:21">
      <c r="G624" s="32">
        <v>20231215</v>
      </c>
      <c r="H624" s="32" t="s">
        <v>3579</v>
      </c>
      <c r="I624" s="33" t="s">
        <v>3580</v>
      </c>
      <c r="J624" s="2" t="s">
        <v>3581</v>
      </c>
      <c r="K624" s="2" t="s">
        <v>1723</v>
      </c>
      <c r="L624" s="2" t="s">
        <v>1724</v>
      </c>
      <c r="M624" s="29">
        <v>7145</v>
      </c>
      <c r="N624" s="29">
        <v>7145</v>
      </c>
      <c r="O624" s="29">
        <v>7095</v>
      </c>
      <c r="P624" s="29">
        <v>7095</v>
      </c>
      <c r="Q624" s="29">
        <v>-30</v>
      </c>
      <c r="R624" s="35">
        <v>-0.42</v>
      </c>
      <c r="S624" s="29">
        <v>4.35E-4</v>
      </c>
      <c r="T624" s="29">
        <v>3.0999200000000001E-2</v>
      </c>
      <c r="U624" s="29">
        <v>46.1175</v>
      </c>
    </row>
    <row r="625" spans="7:21">
      <c r="G625" s="32">
        <v>20231215</v>
      </c>
      <c r="H625" s="32" t="s">
        <v>3582</v>
      </c>
      <c r="I625" s="33" t="s">
        <v>3583</v>
      </c>
      <c r="J625" s="2" t="s">
        <v>3584</v>
      </c>
      <c r="K625" s="2" t="s">
        <v>1723</v>
      </c>
      <c r="L625" s="2" t="s">
        <v>1724</v>
      </c>
      <c r="M625" s="29">
        <v>8640</v>
      </c>
      <c r="N625" s="29">
        <v>8640</v>
      </c>
      <c r="O625" s="29">
        <v>8615</v>
      </c>
      <c r="P625" s="29">
        <v>8615</v>
      </c>
      <c r="Q625" s="29">
        <v>135</v>
      </c>
      <c r="R625" s="35">
        <v>1.59</v>
      </c>
      <c r="S625" s="29">
        <v>4.2400000000000001E-4</v>
      </c>
      <c r="T625" s="29">
        <v>3.6736100000000001E-2</v>
      </c>
      <c r="U625" s="29">
        <v>170.577</v>
      </c>
    </row>
    <row r="626" spans="7:21">
      <c r="G626" s="32">
        <v>20231215</v>
      </c>
      <c r="H626" s="32" t="s">
        <v>3585</v>
      </c>
      <c r="I626" s="33" t="s">
        <v>3586</v>
      </c>
      <c r="J626" s="2" t="s">
        <v>3587</v>
      </c>
      <c r="K626" s="2" t="s">
        <v>1723</v>
      </c>
      <c r="L626" s="2" t="s">
        <v>1724</v>
      </c>
      <c r="M626" s="29">
        <v>6400</v>
      </c>
      <c r="N626" s="29">
        <v>6455</v>
      </c>
      <c r="O626" s="29">
        <v>6385</v>
      </c>
      <c r="P626" s="29">
        <v>6385</v>
      </c>
      <c r="Q626" s="29">
        <v>-80</v>
      </c>
      <c r="R626" s="35">
        <v>-1.24</v>
      </c>
      <c r="S626" s="29">
        <v>4.0999999999999999E-4</v>
      </c>
      <c r="T626" s="29">
        <v>2.6264050000000001E-2</v>
      </c>
      <c r="U626" s="29">
        <v>191.55</v>
      </c>
    </row>
    <row r="627" spans="7:21">
      <c r="G627" s="32">
        <v>20231215</v>
      </c>
      <c r="H627" s="32" t="s">
        <v>3588</v>
      </c>
      <c r="I627" s="33" t="s">
        <v>3589</v>
      </c>
      <c r="J627" s="2" t="s">
        <v>3590</v>
      </c>
      <c r="K627" s="2" t="s">
        <v>1723</v>
      </c>
      <c r="L627" s="2" t="s">
        <v>1724</v>
      </c>
      <c r="M627" s="29">
        <v>7610</v>
      </c>
      <c r="N627" s="29">
        <v>7660</v>
      </c>
      <c r="O627" s="29">
        <v>7610</v>
      </c>
      <c r="P627" s="29">
        <v>7645</v>
      </c>
      <c r="Q627" s="29">
        <v>130</v>
      </c>
      <c r="R627" s="35">
        <v>1.73</v>
      </c>
      <c r="S627" s="29">
        <v>4.0400000000000001E-4</v>
      </c>
      <c r="T627" s="29">
        <v>3.0826699999999999E-2</v>
      </c>
      <c r="U627" s="29">
        <v>244.64</v>
      </c>
    </row>
    <row r="628" spans="7:21">
      <c r="G628" s="32">
        <v>20231215</v>
      </c>
      <c r="H628" s="32" t="s">
        <v>3591</v>
      </c>
      <c r="I628" s="33" t="s">
        <v>3592</v>
      </c>
      <c r="J628" s="2" t="s">
        <v>3593</v>
      </c>
      <c r="K628" s="2" t="s">
        <v>1723</v>
      </c>
      <c r="L628" s="2" t="s">
        <v>1724</v>
      </c>
      <c r="M628" s="29">
        <v>108280</v>
      </c>
      <c r="N628" s="29">
        <v>108335</v>
      </c>
      <c r="O628" s="29">
        <v>108215</v>
      </c>
      <c r="P628" s="29">
        <v>108300</v>
      </c>
      <c r="Q628" s="29">
        <v>-90</v>
      </c>
      <c r="R628" s="35">
        <v>-0.08</v>
      </c>
      <c r="S628" s="29">
        <v>3.9599999999999998E-4</v>
      </c>
      <c r="T628" s="29">
        <v>0.42883035000000003</v>
      </c>
      <c r="U628" s="29">
        <v>232.845</v>
      </c>
    </row>
    <row r="629" spans="7:21">
      <c r="G629" s="32">
        <v>20231215</v>
      </c>
      <c r="H629" s="32" t="s">
        <v>3594</v>
      </c>
      <c r="I629" s="33" t="s">
        <v>3595</v>
      </c>
      <c r="J629" s="2" t="s">
        <v>3596</v>
      </c>
      <c r="K629" s="2" t="s">
        <v>1723</v>
      </c>
      <c r="L629" s="2" t="s">
        <v>1724</v>
      </c>
      <c r="M629" s="29">
        <v>10660</v>
      </c>
      <c r="N629" s="29">
        <v>10845</v>
      </c>
      <c r="O629" s="29">
        <v>10660</v>
      </c>
      <c r="P629" s="29">
        <v>10815</v>
      </c>
      <c r="Q629" s="29">
        <v>185</v>
      </c>
      <c r="R629" s="35">
        <v>1.74</v>
      </c>
      <c r="S629" s="29">
        <v>3.8699999999999997E-4</v>
      </c>
      <c r="T629" s="29">
        <v>4.1656499999999999E-2</v>
      </c>
      <c r="U629" s="29">
        <v>41.097000000000001</v>
      </c>
    </row>
    <row r="630" spans="7:21">
      <c r="G630" s="32">
        <v>20231215</v>
      </c>
      <c r="H630" s="32" t="s">
        <v>3597</v>
      </c>
      <c r="I630" s="33" t="s">
        <v>3598</v>
      </c>
      <c r="J630" s="2" t="s">
        <v>3599</v>
      </c>
      <c r="K630" s="2" t="s">
        <v>1723</v>
      </c>
      <c r="L630" s="2" t="s">
        <v>1724</v>
      </c>
      <c r="M630" s="29">
        <v>12060</v>
      </c>
      <c r="N630" s="29">
        <v>12075</v>
      </c>
      <c r="O630" s="29">
        <v>12030</v>
      </c>
      <c r="P630" s="29">
        <v>12075</v>
      </c>
      <c r="Q630" s="29">
        <v>-25</v>
      </c>
      <c r="R630" s="35">
        <v>-0.21</v>
      </c>
      <c r="S630" s="29">
        <v>3.86E-4</v>
      </c>
      <c r="T630" s="29">
        <v>4.6499850000000002E-2</v>
      </c>
      <c r="U630" s="29">
        <v>96.6</v>
      </c>
    </row>
    <row r="631" spans="7:21">
      <c r="G631" s="32">
        <v>20231215</v>
      </c>
      <c r="H631" s="32" t="s">
        <v>3600</v>
      </c>
      <c r="I631" s="33" t="s">
        <v>3601</v>
      </c>
      <c r="J631" s="2" t="s">
        <v>3602</v>
      </c>
      <c r="K631" s="2" t="s">
        <v>1723</v>
      </c>
      <c r="L631" s="2" t="s">
        <v>1724</v>
      </c>
      <c r="M631" s="29">
        <v>5330</v>
      </c>
      <c r="N631" s="29">
        <v>5390</v>
      </c>
      <c r="O631" s="29">
        <v>5330</v>
      </c>
      <c r="P631" s="29">
        <v>5355</v>
      </c>
      <c r="Q631" s="29">
        <v>55</v>
      </c>
      <c r="R631" s="35">
        <v>1.04</v>
      </c>
      <c r="S631" s="29">
        <v>3.8000000000000002E-4</v>
      </c>
      <c r="T631" s="29">
        <v>2.0370349999999999E-2</v>
      </c>
      <c r="U631" s="29">
        <v>96.39</v>
      </c>
    </row>
    <row r="632" spans="7:21">
      <c r="G632" s="32">
        <v>20231215</v>
      </c>
      <c r="H632" s="32" t="s">
        <v>3603</v>
      </c>
      <c r="I632" s="33" t="s">
        <v>3604</v>
      </c>
      <c r="J632" s="2" t="s">
        <v>3605</v>
      </c>
      <c r="K632" s="2" t="s">
        <v>1723</v>
      </c>
      <c r="L632" s="2" t="s">
        <v>1724</v>
      </c>
      <c r="M632" s="29">
        <v>25920</v>
      </c>
      <c r="N632" s="29">
        <v>26085</v>
      </c>
      <c r="O632" s="29">
        <v>25865</v>
      </c>
      <c r="P632" s="29">
        <v>25865</v>
      </c>
      <c r="Q632" s="29">
        <v>165</v>
      </c>
      <c r="R632" s="35">
        <v>0.64</v>
      </c>
      <c r="S632" s="29">
        <v>3.6999999999999999E-4</v>
      </c>
      <c r="T632" s="29">
        <v>9.5977850000000003E-2</v>
      </c>
      <c r="U632" s="29">
        <v>62.076000000000001</v>
      </c>
    </row>
    <row r="633" spans="7:21">
      <c r="G633" s="32">
        <v>20231215</v>
      </c>
      <c r="H633" s="32" t="s">
        <v>3606</v>
      </c>
      <c r="I633" s="33" t="s">
        <v>3607</v>
      </c>
      <c r="J633" s="2" t="s">
        <v>3608</v>
      </c>
      <c r="K633" s="2" t="s">
        <v>1723</v>
      </c>
      <c r="L633" s="2" t="s">
        <v>1724</v>
      </c>
      <c r="M633" s="29">
        <v>102290</v>
      </c>
      <c r="N633" s="29">
        <v>102340</v>
      </c>
      <c r="O633" s="29">
        <v>102230</v>
      </c>
      <c r="P633" s="29">
        <v>102235</v>
      </c>
      <c r="Q633" s="29">
        <v>-110</v>
      </c>
      <c r="R633" s="35">
        <v>-0.11</v>
      </c>
      <c r="S633" s="29">
        <v>3.6699999999999998E-4</v>
      </c>
      <c r="T633" s="29">
        <v>0.37528335000000002</v>
      </c>
      <c r="U633" s="29">
        <v>153.35249999999999</v>
      </c>
    </row>
    <row r="634" spans="7:21">
      <c r="G634" s="32">
        <v>20231215</v>
      </c>
      <c r="H634" s="32" t="s">
        <v>3609</v>
      </c>
      <c r="I634" s="33" t="s">
        <v>3610</v>
      </c>
      <c r="J634" s="2" t="s">
        <v>3611</v>
      </c>
      <c r="K634" s="2" t="s">
        <v>1723</v>
      </c>
      <c r="L634" s="2" t="s">
        <v>1724</v>
      </c>
      <c r="M634" s="29">
        <v>6650</v>
      </c>
      <c r="N634" s="29">
        <v>6720</v>
      </c>
      <c r="O634" s="29">
        <v>6505</v>
      </c>
      <c r="P634" s="29">
        <v>6550</v>
      </c>
      <c r="Q634" s="29">
        <v>-115</v>
      </c>
      <c r="R634" s="35">
        <v>-1.73</v>
      </c>
      <c r="S634" s="29">
        <v>3.6699999999999998E-4</v>
      </c>
      <c r="T634" s="29">
        <v>2.4289350000000001E-2</v>
      </c>
      <c r="U634" s="29">
        <v>42.575000000000003</v>
      </c>
    </row>
    <row r="635" spans="7:21">
      <c r="G635" s="32">
        <v>20231215</v>
      </c>
      <c r="H635" s="32" t="s">
        <v>3612</v>
      </c>
      <c r="I635" s="33" t="s">
        <v>3613</v>
      </c>
      <c r="J635" s="2" t="s">
        <v>3614</v>
      </c>
      <c r="K635" s="2" t="s">
        <v>1723</v>
      </c>
      <c r="L635" s="2" t="s">
        <v>1724</v>
      </c>
      <c r="M635" s="29">
        <v>9460</v>
      </c>
      <c r="N635" s="29">
        <v>9580</v>
      </c>
      <c r="O635" s="29">
        <v>9430</v>
      </c>
      <c r="P635" s="29">
        <v>9475</v>
      </c>
      <c r="Q635" s="29">
        <v>215</v>
      </c>
      <c r="R635" s="35">
        <v>2.3199999999999998</v>
      </c>
      <c r="S635" s="29">
        <v>3.6600000000000001E-4</v>
      </c>
      <c r="T635" s="29">
        <v>3.4853450000000001E-2</v>
      </c>
      <c r="U635" s="29">
        <v>43.585000000000001</v>
      </c>
    </row>
    <row r="636" spans="7:21">
      <c r="G636" s="32">
        <v>20231215</v>
      </c>
      <c r="H636" s="32" t="s">
        <v>3615</v>
      </c>
      <c r="I636" s="33" t="s">
        <v>3616</v>
      </c>
      <c r="J636" s="2" t="s">
        <v>3617</v>
      </c>
      <c r="K636" s="2" t="s">
        <v>1723</v>
      </c>
      <c r="L636" s="2" t="s">
        <v>1724</v>
      </c>
      <c r="M636" s="29">
        <v>6240</v>
      </c>
      <c r="N636" s="29">
        <v>6240</v>
      </c>
      <c r="O636" s="29">
        <v>6130</v>
      </c>
      <c r="P636" s="29">
        <v>6130</v>
      </c>
      <c r="Q636" s="29">
        <v>-50</v>
      </c>
      <c r="R636" s="35">
        <v>-0.81</v>
      </c>
      <c r="S636" s="29">
        <v>3.59E-4</v>
      </c>
      <c r="T636" s="29">
        <v>2.215715E-2</v>
      </c>
      <c r="U636" s="29">
        <v>55.17</v>
      </c>
    </row>
    <row r="637" spans="7:21">
      <c r="G637" s="32">
        <v>20231215</v>
      </c>
      <c r="H637" s="32" t="s">
        <v>3618</v>
      </c>
      <c r="I637" s="33" t="s">
        <v>3619</v>
      </c>
      <c r="J637" s="2" t="s">
        <v>3620</v>
      </c>
      <c r="K637" s="2" t="s">
        <v>1723</v>
      </c>
      <c r="L637" s="2" t="s">
        <v>1724</v>
      </c>
      <c r="M637" s="29">
        <v>13700</v>
      </c>
      <c r="N637" s="29">
        <v>13915</v>
      </c>
      <c r="O637" s="29">
        <v>13700</v>
      </c>
      <c r="P637" s="29">
        <v>13740</v>
      </c>
      <c r="Q637" s="29">
        <v>200</v>
      </c>
      <c r="R637" s="35">
        <v>1.48</v>
      </c>
      <c r="S637" s="29">
        <v>3.5199999999999999E-4</v>
      </c>
      <c r="T637" s="29">
        <v>4.8611599999999998E-2</v>
      </c>
      <c r="U637" s="29">
        <v>82.44</v>
      </c>
    </row>
    <row r="638" spans="7:21">
      <c r="G638" s="32">
        <v>20231215</v>
      </c>
      <c r="H638" s="32" t="s">
        <v>3621</v>
      </c>
      <c r="I638" s="33" t="s">
        <v>3622</v>
      </c>
      <c r="J638" s="2" t="s">
        <v>3623</v>
      </c>
      <c r="K638" s="2" t="s">
        <v>1723</v>
      </c>
      <c r="L638" s="2" t="s">
        <v>1724</v>
      </c>
      <c r="M638" s="29">
        <v>11815</v>
      </c>
      <c r="N638" s="29">
        <v>11820</v>
      </c>
      <c r="O638" s="29">
        <v>11780</v>
      </c>
      <c r="P638" s="29">
        <v>11815</v>
      </c>
      <c r="Q638" s="29">
        <v>25</v>
      </c>
      <c r="R638" s="35">
        <v>0.21</v>
      </c>
      <c r="S638" s="29">
        <v>3.4499999999999998E-4</v>
      </c>
      <c r="T638" s="29">
        <v>4.0718850000000001E-2</v>
      </c>
      <c r="U638" s="29">
        <v>64.982500000000002</v>
      </c>
    </row>
    <row r="639" spans="7:21">
      <c r="G639" s="32">
        <v>20231215</v>
      </c>
      <c r="H639" s="32" t="s">
        <v>3624</v>
      </c>
      <c r="I639" s="33" t="s">
        <v>3625</v>
      </c>
      <c r="J639" s="2" t="s">
        <v>3626</v>
      </c>
      <c r="K639" s="2" t="s">
        <v>1723</v>
      </c>
      <c r="L639" s="2" t="s">
        <v>1724</v>
      </c>
      <c r="M639" s="29">
        <v>110725</v>
      </c>
      <c r="N639" s="29">
        <v>110880</v>
      </c>
      <c r="O639" s="29">
        <v>110570</v>
      </c>
      <c r="P639" s="29">
        <v>110880</v>
      </c>
      <c r="Q639" s="29">
        <v>-65</v>
      </c>
      <c r="R639" s="35">
        <v>-0.06</v>
      </c>
      <c r="S639" s="29">
        <v>3.4099999999999999E-4</v>
      </c>
      <c r="T639" s="29">
        <v>0.37799500000000003</v>
      </c>
      <c r="U639" s="29">
        <v>232.84800000000001</v>
      </c>
    </row>
    <row r="640" spans="7:21">
      <c r="G640" s="32">
        <v>20231215</v>
      </c>
      <c r="H640" s="32" t="s">
        <v>3627</v>
      </c>
      <c r="I640" s="33" t="s">
        <v>3628</v>
      </c>
      <c r="J640" s="2" t="s">
        <v>3629</v>
      </c>
      <c r="K640" s="2" t="s">
        <v>1723</v>
      </c>
      <c r="L640" s="2" t="s">
        <v>1724</v>
      </c>
      <c r="M640" s="29">
        <v>13750</v>
      </c>
      <c r="N640" s="29">
        <v>13750</v>
      </c>
      <c r="O640" s="29">
        <v>13580</v>
      </c>
      <c r="P640" s="29">
        <v>13680</v>
      </c>
      <c r="Q640" s="29">
        <v>80</v>
      </c>
      <c r="R640" s="35">
        <v>0.59</v>
      </c>
      <c r="S640" s="29">
        <v>3.3199999999999999E-4</v>
      </c>
      <c r="T640" s="29">
        <v>4.521555E-2</v>
      </c>
      <c r="U640" s="29">
        <v>27.36</v>
      </c>
    </row>
    <row r="641" spans="7:21">
      <c r="G641" s="32">
        <v>20231215</v>
      </c>
      <c r="H641" s="32" t="s">
        <v>3630</v>
      </c>
      <c r="I641" s="33" t="s">
        <v>3631</v>
      </c>
      <c r="J641" s="2" t="s">
        <v>3632</v>
      </c>
      <c r="K641" s="2" t="s">
        <v>1723</v>
      </c>
      <c r="L641" s="2" t="s">
        <v>1724</v>
      </c>
      <c r="M641" s="29">
        <v>31005</v>
      </c>
      <c r="N641" s="29">
        <v>31395</v>
      </c>
      <c r="O641" s="29">
        <v>31005</v>
      </c>
      <c r="P641" s="29">
        <v>31270</v>
      </c>
      <c r="Q641" s="29">
        <v>355</v>
      </c>
      <c r="R641" s="35">
        <v>1.1499999999999999</v>
      </c>
      <c r="S641" s="29">
        <v>3.2699999999999998E-4</v>
      </c>
      <c r="T641" s="29">
        <v>0.10209115000000001</v>
      </c>
      <c r="U641" s="29">
        <v>156.35</v>
      </c>
    </row>
    <row r="642" spans="7:21">
      <c r="G642" s="32">
        <v>20231215</v>
      </c>
      <c r="H642" s="32" t="s">
        <v>3633</v>
      </c>
      <c r="I642" s="33" t="s">
        <v>3634</v>
      </c>
      <c r="J642" s="2" t="s">
        <v>3635</v>
      </c>
      <c r="K642" s="2" t="s">
        <v>1723</v>
      </c>
      <c r="L642" s="2" t="s">
        <v>1724</v>
      </c>
      <c r="M642" s="29">
        <v>107595</v>
      </c>
      <c r="N642" s="29">
        <v>107595</v>
      </c>
      <c r="O642" s="29">
        <v>107535</v>
      </c>
      <c r="P642" s="29">
        <v>107540</v>
      </c>
      <c r="Q642" s="29">
        <v>95</v>
      </c>
      <c r="R642" s="35">
        <v>0.09</v>
      </c>
      <c r="S642" s="29">
        <v>3.2400000000000001E-4</v>
      </c>
      <c r="T642" s="29">
        <v>0.34843554999999998</v>
      </c>
      <c r="U642" s="29">
        <v>1258.2180000000001</v>
      </c>
    </row>
    <row r="643" spans="7:21">
      <c r="G643" s="32">
        <v>20231215</v>
      </c>
      <c r="H643" s="32" t="s">
        <v>3636</v>
      </c>
      <c r="I643" s="33" t="s">
        <v>3637</v>
      </c>
      <c r="J643" s="2" t="s">
        <v>3638</v>
      </c>
      <c r="K643" s="2" t="s">
        <v>1723</v>
      </c>
      <c r="L643" s="2" t="s">
        <v>1724</v>
      </c>
      <c r="M643" s="29">
        <v>19120</v>
      </c>
      <c r="N643" s="29">
        <v>19185</v>
      </c>
      <c r="O643" s="29">
        <v>19065</v>
      </c>
      <c r="P643" s="29">
        <v>19125</v>
      </c>
      <c r="Q643" s="29">
        <v>155</v>
      </c>
      <c r="R643" s="35">
        <v>0.82</v>
      </c>
      <c r="S643" s="29">
        <v>3.21E-4</v>
      </c>
      <c r="T643" s="29">
        <v>6.1411800000000002E-2</v>
      </c>
      <c r="U643" s="29">
        <v>57.375</v>
      </c>
    </row>
    <row r="644" spans="7:21">
      <c r="G644" s="32">
        <v>20231215</v>
      </c>
      <c r="H644" s="32" t="s">
        <v>3639</v>
      </c>
      <c r="I644" s="33" t="s">
        <v>3640</v>
      </c>
      <c r="J644" s="2" t="s">
        <v>3641</v>
      </c>
      <c r="K644" s="2" t="s">
        <v>1723</v>
      </c>
      <c r="L644" s="2" t="s">
        <v>1724</v>
      </c>
      <c r="M644" s="29">
        <v>8830</v>
      </c>
      <c r="N644" s="29">
        <v>8890</v>
      </c>
      <c r="O644" s="29">
        <v>8830</v>
      </c>
      <c r="P644" s="29">
        <v>8850</v>
      </c>
      <c r="Q644" s="29">
        <v>50</v>
      </c>
      <c r="R644" s="35">
        <v>0.56999999999999995</v>
      </c>
      <c r="S644" s="29">
        <v>3.1700000000000001E-4</v>
      </c>
      <c r="T644" s="29">
        <v>2.8125250000000001E-2</v>
      </c>
      <c r="U644" s="29">
        <v>75.224999999999994</v>
      </c>
    </row>
    <row r="645" spans="7:21">
      <c r="G645" s="32">
        <v>20231215</v>
      </c>
      <c r="H645" s="32" t="s">
        <v>3642</v>
      </c>
      <c r="I645" s="33" t="s">
        <v>3643</v>
      </c>
      <c r="J645" s="2" t="s">
        <v>3644</v>
      </c>
      <c r="K645" s="2" t="s">
        <v>1723</v>
      </c>
      <c r="L645" s="2" t="s">
        <v>1724</v>
      </c>
      <c r="M645" s="29">
        <v>8830</v>
      </c>
      <c r="N645" s="29">
        <v>8930</v>
      </c>
      <c r="O645" s="29">
        <v>8830</v>
      </c>
      <c r="P645" s="29">
        <v>8915</v>
      </c>
      <c r="Q645" s="29">
        <v>35</v>
      </c>
      <c r="R645" s="35">
        <v>0.39</v>
      </c>
      <c r="S645" s="29">
        <v>3.1500000000000001E-4</v>
      </c>
      <c r="T645" s="29">
        <v>2.7829949999999999E-2</v>
      </c>
      <c r="U645" s="29">
        <v>53.49</v>
      </c>
    </row>
    <row r="646" spans="7:21">
      <c r="G646" s="32">
        <v>20231215</v>
      </c>
      <c r="H646" s="32" t="s">
        <v>3645</v>
      </c>
      <c r="I646" s="33" t="s">
        <v>3646</v>
      </c>
      <c r="J646" s="2" t="s">
        <v>3647</v>
      </c>
      <c r="K646" s="2" t="s">
        <v>1723</v>
      </c>
      <c r="L646" s="2" t="s">
        <v>1724</v>
      </c>
      <c r="M646" s="29">
        <v>102775</v>
      </c>
      <c r="N646" s="29">
        <v>102775</v>
      </c>
      <c r="O646" s="29">
        <v>102770</v>
      </c>
      <c r="P646" s="29">
        <v>102770</v>
      </c>
      <c r="Q646" s="29">
        <v>-5</v>
      </c>
      <c r="R646" s="35">
        <v>0</v>
      </c>
      <c r="S646" s="29">
        <v>3.1E-4</v>
      </c>
      <c r="T646" s="29">
        <v>0.3186022</v>
      </c>
      <c r="U646" s="29">
        <v>123.324</v>
      </c>
    </row>
    <row r="647" spans="7:21">
      <c r="G647" s="32">
        <v>20231215</v>
      </c>
      <c r="H647" s="32" t="s">
        <v>3648</v>
      </c>
      <c r="I647" s="33" t="s">
        <v>3649</v>
      </c>
      <c r="J647" s="2" t="s">
        <v>3650</v>
      </c>
      <c r="K647" s="2" t="s">
        <v>1723</v>
      </c>
      <c r="L647" s="2" t="s">
        <v>1724</v>
      </c>
      <c r="M647" s="29">
        <v>16380</v>
      </c>
      <c r="N647" s="29">
        <v>16400</v>
      </c>
      <c r="O647" s="29">
        <v>16300</v>
      </c>
      <c r="P647" s="29">
        <v>16300</v>
      </c>
      <c r="Q647" s="29">
        <v>75</v>
      </c>
      <c r="R647" s="35">
        <v>0.46</v>
      </c>
      <c r="S647" s="29">
        <v>3.0200000000000002E-4</v>
      </c>
      <c r="T647" s="29">
        <v>4.9365149999999997E-2</v>
      </c>
      <c r="U647" s="29">
        <v>81.5</v>
      </c>
    </row>
    <row r="648" spans="7:21">
      <c r="G648" s="32">
        <v>20231215</v>
      </c>
      <c r="H648" s="32" t="s">
        <v>3651</v>
      </c>
      <c r="I648" s="33" t="s">
        <v>3652</v>
      </c>
      <c r="J648" s="2" t="s">
        <v>3653</v>
      </c>
      <c r="K648" s="2" t="s">
        <v>1723</v>
      </c>
      <c r="L648" s="2" t="s">
        <v>1724</v>
      </c>
      <c r="M648" s="29">
        <v>7215</v>
      </c>
      <c r="N648" s="29">
        <v>7215</v>
      </c>
      <c r="O648" s="29">
        <v>7170</v>
      </c>
      <c r="P648" s="29">
        <v>7175</v>
      </c>
      <c r="Q648" s="29">
        <v>-40</v>
      </c>
      <c r="R648" s="35">
        <v>-0.55000000000000004</v>
      </c>
      <c r="S648" s="29">
        <v>3.0200000000000002E-4</v>
      </c>
      <c r="T648" s="29">
        <v>2.1701350000000001E-2</v>
      </c>
      <c r="U648" s="29">
        <v>39.462499999999999</v>
      </c>
    </row>
    <row r="649" spans="7:21">
      <c r="G649" s="32">
        <v>20231215</v>
      </c>
      <c r="H649" s="32" t="s">
        <v>3654</v>
      </c>
      <c r="I649" s="33" t="s">
        <v>3655</v>
      </c>
      <c r="J649" s="2" t="s">
        <v>3656</v>
      </c>
      <c r="K649" s="2" t="s">
        <v>1723</v>
      </c>
      <c r="L649" s="2" t="s">
        <v>1724</v>
      </c>
      <c r="M649" s="29">
        <v>8505</v>
      </c>
      <c r="N649" s="29">
        <v>8530</v>
      </c>
      <c r="O649" s="29">
        <v>8485</v>
      </c>
      <c r="P649" s="29">
        <v>8525</v>
      </c>
      <c r="Q649" s="29">
        <v>105</v>
      </c>
      <c r="R649" s="35">
        <v>1.25</v>
      </c>
      <c r="S649" s="29">
        <v>2.9799999999999998E-4</v>
      </c>
      <c r="T649" s="29">
        <v>2.5371899999999999E-2</v>
      </c>
      <c r="U649" s="29">
        <v>102.3</v>
      </c>
    </row>
    <row r="650" spans="7:21">
      <c r="G650" s="32">
        <v>20231215</v>
      </c>
      <c r="H650" s="32" t="s">
        <v>3657</v>
      </c>
      <c r="I650" s="33" t="s">
        <v>3658</v>
      </c>
      <c r="J650" s="2" t="s">
        <v>3659</v>
      </c>
      <c r="K650" s="2" t="s">
        <v>1723</v>
      </c>
      <c r="L650" s="2" t="s">
        <v>1724</v>
      </c>
      <c r="M650" s="29">
        <v>12355</v>
      </c>
      <c r="N650" s="29">
        <v>12525</v>
      </c>
      <c r="O650" s="29">
        <v>12355</v>
      </c>
      <c r="P650" s="29">
        <v>12525</v>
      </c>
      <c r="Q650" s="29">
        <v>210</v>
      </c>
      <c r="R650" s="35">
        <v>1.71</v>
      </c>
      <c r="S650" s="29">
        <v>2.9700000000000001E-4</v>
      </c>
      <c r="T650" s="29">
        <v>3.7156450000000001E-2</v>
      </c>
      <c r="U650" s="29">
        <v>93.9375</v>
      </c>
    </row>
    <row r="651" spans="7:21">
      <c r="G651" s="32">
        <v>20231215</v>
      </c>
      <c r="H651" s="32" t="s">
        <v>3660</v>
      </c>
      <c r="I651" s="33" t="s">
        <v>3661</v>
      </c>
      <c r="J651" s="2" t="s">
        <v>3662</v>
      </c>
      <c r="K651" s="2" t="s">
        <v>1723</v>
      </c>
      <c r="L651" s="2" t="s">
        <v>1724</v>
      </c>
      <c r="M651" s="29">
        <v>9650</v>
      </c>
      <c r="N651" s="29">
        <v>9700</v>
      </c>
      <c r="O651" s="29">
        <v>9610</v>
      </c>
      <c r="P651" s="29">
        <v>9700</v>
      </c>
      <c r="Q651" s="29">
        <v>25</v>
      </c>
      <c r="R651" s="35">
        <v>0.26</v>
      </c>
      <c r="S651" s="29">
        <v>2.7999999999999998E-4</v>
      </c>
      <c r="T651" s="29">
        <v>2.7008750000000002E-2</v>
      </c>
      <c r="U651" s="29">
        <v>48.5</v>
      </c>
    </row>
    <row r="652" spans="7:21">
      <c r="G652" s="32">
        <v>20231215</v>
      </c>
      <c r="H652" s="32" t="s">
        <v>3663</v>
      </c>
      <c r="I652" s="33" t="s">
        <v>3664</v>
      </c>
      <c r="J652" s="2" t="s">
        <v>3665</v>
      </c>
      <c r="K652" s="2" t="s">
        <v>1723</v>
      </c>
      <c r="L652" s="2" t="s">
        <v>1724</v>
      </c>
      <c r="M652" s="29">
        <v>11000</v>
      </c>
      <c r="N652" s="29">
        <v>11000</v>
      </c>
      <c r="O652" s="29">
        <v>10885</v>
      </c>
      <c r="P652" s="29">
        <v>10895</v>
      </c>
      <c r="Q652" s="29">
        <v>15</v>
      </c>
      <c r="R652" s="35">
        <v>0.14000000000000001</v>
      </c>
      <c r="S652" s="29">
        <v>2.6899999999999998E-4</v>
      </c>
      <c r="T652" s="29">
        <v>2.9342099999999999E-2</v>
      </c>
      <c r="U652" s="29">
        <v>22.8795</v>
      </c>
    </row>
    <row r="653" spans="7:21">
      <c r="G653" s="32">
        <v>20231215</v>
      </c>
      <c r="H653" s="32" t="s">
        <v>3666</v>
      </c>
      <c r="I653" s="33" t="s">
        <v>3667</v>
      </c>
      <c r="J653" s="2" t="s">
        <v>3668</v>
      </c>
      <c r="K653" s="2" t="s">
        <v>1723</v>
      </c>
      <c r="L653" s="2" t="s">
        <v>1724</v>
      </c>
      <c r="M653" s="29">
        <v>52120</v>
      </c>
      <c r="N653" s="29">
        <v>52240</v>
      </c>
      <c r="O653" s="29">
        <v>52120</v>
      </c>
      <c r="P653" s="29">
        <v>52170</v>
      </c>
      <c r="Q653" s="29">
        <v>-110</v>
      </c>
      <c r="R653" s="35">
        <v>-0.21</v>
      </c>
      <c r="S653" s="29">
        <v>2.6200000000000003E-4</v>
      </c>
      <c r="T653" s="29">
        <v>0.13668505</v>
      </c>
      <c r="U653" s="29">
        <v>39.6492</v>
      </c>
    </row>
    <row r="654" spans="7:21">
      <c r="G654" s="32">
        <v>20231215</v>
      </c>
      <c r="H654" s="32" t="s">
        <v>3669</v>
      </c>
      <c r="I654" s="33" t="s">
        <v>3670</v>
      </c>
      <c r="J654" s="2" t="s">
        <v>3671</v>
      </c>
      <c r="K654" s="2" t="s">
        <v>1723</v>
      </c>
      <c r="L654" s="2" t="s">
        <v>1724</v>
      </c>
      <c r="M654" s="29">
        <v>8905</v>
      </c>
      <c r="N654" s="29">
        <v>8960</v>
      </c>
      <c r="O654" s="29">
        <v>8830</v>
      </c>
      <c r="P654" s="29">
        <v>8830</v>
      </c>
      <c r="Q654" s="29">
        <v>0</v>
      </c>
      <c r="R654" s="35">
        <v>0</v>
      </c>
      <c r="S654" s="29">
        <v>2.5900000000000001E-4</v>
      </c>
      <c r="T654" s="29">
        <v>2.314105E-2</v>
      </c>
      <c r="U654" s="29">
        <v>105.96</v>
      </c>
    </row>
    <row r="655" spans="7:21">
      <c r="G655" s="32">
        <v>20231215</v>
      </c>
      <c r="H655" s="32" t="s">
        <v>3672</v>
      </c>
      <c r="I655" s="33" t="s">
        <v>3673</v>
      </c>
      <c r="J655" s="2" t="s">
        <v>3674</v>
      </c>
      <c r="K655" s="2" t="s">
        <v>1723</v>
      </c>
      <c r="L655" s="2" t="s">
        <v>1724</v>
      </c>
      <c r="M655" s="29">
        <v>24300</v>
      </c>
      <c r="N655" s="29">
        <v>24325</v>
      </c>
      <c r="O655" s="29">
        <v>24185</v>
      </c>
      <c r="P655" s="29">
        <v>24185</v>
      </c>
      <c r="Q655" s="29">
        <v>-110</v>
      </c>
      <c r="R655" s="35">
        <v>-0.45</v>
      </c>
      <c r="S655" s="29">
        <v>2.5399999999999999E-4</v>
      </c>
      <c r="T655" s="29">
        <v>6.1681850000000003E-2</v>
      </c>
      <c r="U655" s="29">
        <v>53.207000000000001</v>
      </c>
    </row>
    <row r="656" spans="7:21">
      <c r="G656" s="32">
        <v>20231215</v>
      </c>
      <c r="H656" s="32" t="s">
        <v>3675</v>
      </c>
      <c r="I656" s="33" t="s">
        <v>3676</v>
      </c>
      <c r="J656" s="2" t="s">
        <v>3677</v>
      </c>
      <c r="K656" s="2" t="s">
        <v>1723</v>
      </c>
      <c r="L656" s="2" t="s">
        <v>1724</v>
      </c>
      <c r="M656" s="29">
        <v>26605</v>
      </c>
      <c r="N656" s="29">
        <v>26635</v>
      </c>
      <c r="O656" s="29">
        <v>26495</v>
      </c>
      <c r="P656" s="29">
        <v>26605</v>
      </c>
      <c r="Q656" s="29">
        <v>180</v>
      </c>
      <c r="R656" s="35">
        <v>0.68</v>
      </c>
      <c r="S656" s="29">
        <v>2.5399999999999999E-4</v>
      </c>
      <c r="T656" s="29">
        <v>6.7332249999999996E-2</v>
      </c>
      <c r="U656" s="29">
        <v>66.512500000000003</v>
      </c>
    </row>
    <row r="657" spans="7:21">
      <c r="G657" s="32">
        <v>20231215</v>
      </c>
      <c r="H657" s="32" t="s">
        <v>3678</v>
      </c>
      <c r="I657" s="33" t="s">
        <v>3679</v>
      </c>
      <c r="J657" s="2" t="s">
        <v>3680</v>
      </c>
      <c r="K657" s="2" t="s">
        <v>1723</v>
      </c>
      <c r="L657" s="2" t="s">
        <v>1724</v>
      </c>
      <c r="M657" s="29">
        <v>23885</v>
      </c>
      <c r="N657" s="29">
        <v>23965</v>
      </c>
      <c r="O657" s="29">
        <v>23835</v>
      </c>
      <c r="P657" s="29">
        <v>23880</v>
      </c>
      <c r="Q657" s="29">
        <v>280</v>
      </c>
      <c r="R657" s="35">
        <v>1.19</v>
      </c>
      <c r="S657" s="29">
        <v>2.5099999999999998E-4</v>
      </c>
      <c r="T657" s="29">
        <v>6.0002750000000001E-2</v>
      </c>
      <c r="U657" s="29">
        <v>222.084</v>
      </c>
    </row>
    <row r="658" spans="7:21">
      <c r="G658" s="32">
        <v>20231215</v>
      </c>
      <c r="H658" s="32" t="s">
        <v>3681</v>
      </c>
      <c r="I658" s="33" t="s">
        <v>3682</v>
      </c>
      <c r="J658" s="2" t="s">
        <v>3683</v>
      </c>
      <c r="K658" s="2" t="s">
        <v>1723</v>
      </c>
      <c r="L658" s="2" t="s">
        <v>1724</v>
      </c>
      <c r="M658" s="29">
        <v>11055</v>
      </c>
      <c r="N658" s="29">
        <v>11080</v>
      </c>
      <c r="O658" s="29">
        <v>11055</v>
      </c>
      <c r="P658" s="29">
        <v>11065</v>
      </c>
      <c r="Q658" s="29">
        <v>70</v>
      </c>
      <c r="R658" s="35">
        <v>0.64</v>
      </c>
      <c r="S658" s="29">
        <v>2.41E-4</v>
      </c>
      <c r="T658" s="29">
        <v>2.6671299999999998E-2</v>
      </c>
      <c r="U658" s="29">
        <v>88.52</v>
      </c>
    </row>
    <row r="659" spans="7:21">
      <c r="G659" s="32">
        <v>20231215</v>
      </c>
      <c r="H659" s="32" t="s">
        <v>3684</v>
      </c>
      <c r="I659" s="33" t="s">
        <v>3685</v>
      </c>
      <c r="J659" s="2" t="s">
        <v>3686</v>
      </c>
      <c r="K659" s="2" t="s">
        <v>1723</v>
      </c>
      <c r="L659" s="2" t="s">
        <v>1724</v>
      </c>
      <c r="M659" s="29">
        <v>9140</v>
      </c>
      <c r="N659" s="29">
        <v>9140</v>
      </c>
      <c r="O659" s="29">
        <v>9115</v>
      </c>
      <c r="P659" s="29">
        <v>9125</v>
      </c>
      <c r="Q659" s="29">
        <v>5</v>
      </c>
      <c r="R659" s="35">
        <v>0.05</v>
      </c>
      <c r="S659" s="29">
        <v>2.3900000000000001E-4</v>
      </c>
      <c r="T659" s="29">
        <v>2.1827349999999999E-2</v>
      </c>
      <c r="U659" s="29">
        <v>93.075000000000003</v>
      </c>
    </row>
    <row r="660" spans="7:21">
      <c r="G660" s="32">
        <v>20231215</v>
      </c>
      <c r="H660" s="32" t="s">
        <v>3687</v>
      </c>
      <c r="I660" s="33" t="s">
        <v>3688</v>
      </c>
      <c r="J660" s="2" t="s">
        <v>3689</v>
      </c>
      <c r="K660" s="2" t="s">
        <v>1723</v>
      </c>
      <c r="L660" s="2" t="s">
        <v>1724</v>
      </c>
      <c r="M660" s="29">
        <v>9570</v>
      </c>
      <c r="N660" s="29">
        <v>9655</v>
      </c>
      <c r="O660" s="29">
        <v>9570</v>
      </c>
      <c r="P660" s="29">
        <v>9640</v>
      </c>
      <c r="Q660" s="29">
        <v>-75</v>
      </c>
      <c r="R660" s="35">
        <v>-0.77</v>
      </c>
      <c r="S660" s="29">
        <v>2.33E-4</v>
      </c>
      <c r="T660" s="29">
        <v>2.2448099999999999E-2</v>
      </c>
      <c r="U660" s="29">
        <v>28.92</v>
      </c>
    </row>
    <row r="661" spans="7:21">
      <c r="G661" s="32">
        <v>20231215</v>
      </c>
      <c r="H661" s="32" t="s">
        <v>3690</v>
      </c>
      <c r="I661" s="33" t="s">
        <v>3691</v>
      </c>
      <c r="J661" s="2" t="s">
        <v>3692</v>
      </c>
      <c r="K661" s="2" t="s">
        <v>1723</v>
      </c>
      <c r="L661" s="2" t="s">
        <v>1724</v>
      </c>
      <c r="M661" s="29">
        <v>100890</v>
      </c>
      <c r="N661" s="29">
        <v>101030</v>
      </c>
      <c r="O661" s="29">
        <v>100870</v>
      </c>
      <c r="P661" s="29">
        <v>100870</v>
      </c>
      <c r="Q661" s="29">
        <v>-105</v>
      </c>
      <c r="R661" s="35">
        <v>-0.1</v>
      </c>
      <c r="S661" s="29">
        <v>2.33E-4</v>
      </c>
      <c r="T661" s="29">
        <v>0.2352001</v>
      </c>
      <c r="U661" s="29">
        <v>11315.596600000001</v>
      </c>
    </row>
    <row r="662" spans="7:21">
      <c r="G662" s="32">
        <v>20231215</v>
      </c>
      <c r="H662" s="32" t="s">
        <v>3693</v>
      </c>
      <c r="I662" s="33" t="s">
        <v>3694</v>
      </c>
      <c r="J662" s="2" t="s">
        <v>3695</v>
      </c>
      <c r="K662" s="2" t="s">
        <v>1723</v>
      </c>
      <c r="L662" s="2" t="s">
        <v>1724</v>
      </c>
      <c r="M662" s="29">
        <v>16135</v>
      </c>
      <c r="N662" s="29">
        <v>16135</v>
      </c>
      <c r="O662" s="29">
        <v>15870</v>
      </c>
      <c r="P662" s="29">
        <v>15870</v>
      </c>
      <c r="Q662" s="29">
        <v>-255</v>
      </c>
      <c r="R662" s="35">
        <v>-1.58</v>
      </c>
      <c r="S662" s="29">
        <v>2.2699999999999999E-4</v>
      </c>
      <c r="T662" s="29">
        <v>3.6218E-2</v>
      </c>
      <c r="U662" s="29">
        <v>34.914000000000001</v>
      </c>
    </row>
    <row r="663" spans="7:21">
      <c r="G663" s="32">
        <v>20231215</v>
      </c>
      <c r="H663" s="32" t="s">
        <v>3696</v>
      </c>
      <c r="I663" s="33" t="s">
        <v>3697</v>
      </c>
      <c r="J663" s="2" t="s">
        <v>3698</v>
      </c>
      <c r="K663" s="2" t="s">
        <v>1723</v>
      </c>
      <c r="L663" s="2" t="s">
        <v>1724</v>
      </c>
      <c r="M663" s="29">
        <v>34685</v>
      </c>
      <c r="N663" s="29">
        <v>34800</v>
      </c>
      <c r="O663" s="29">
        <v>34685</v>
      </c>
      <c r="P663" s="29">
        <v>34755</v>
      </c>
      <c r="Q663" s="29">
        <v>355</v>
      </c>
      <c r="R663" s="35">
        <v>1.03</v>
      </c>
      <c r="S663" s="29">
        <v>2.2599999999999999E-4</v>
      </c>
      <c r="T663" s="29">
        <v>7.8579099999999999E-2</v>
      </c>
      <c r="U663" s="29">
        <v>295.41750000000002</v>
      </c>
    </row>
    <row r="664" spans="7:21">
      <c r="G664" s="32">
        <v>20231215</v>
      </c>
      <c r="H664" s="32" t="s">
        <v>3699</v>
      </c>
      <c r="I664" s="33" t="s">
        <v>3700</v>
      </c>
      <c r="J664" s="2" t="s">
        <v>3701</v>
      </c>
      <c r="K664" s="2" t="s">
        <v>1723</v>
      </c>
      <c r="L664" s="2" t="s">
        <v>1724</v>
      </c>
      <c r="M664" s="29">
        <v>11550</v>
      </c>
      <c r="N664" s="29">
        <v>11570</v>
      </c>
      <c r="O664" s="29">
        <v>11445</v>
      </c>
      <c r="P664" s="29">
        <v>11570</v>
      </c>
      <c r="Q664" s="29">
        <v>20</v>
      </c>
      <c r="R664" s="35">
        <v>0.17</v>
      </c>
      <c r="S664" s="29">
        <v>2.24E-4</v>
      </c>
      <c r="T664" s="29">
        <v>2.568225E-2</v>
      </c>
      <c r="U664" s="29">
        <v>80.989999999999995</v>
      </c>
    </row>
    <row r="665" spans="7:21">
      <c r="G665" s="32">
        <v>20231215</v>
      </c>
      <c r="H665" s="32" t="s">
        <v>3702</v>
      </c>
      <c r="I665" s="33" t="s">
        <v>3703</v>
      </c>
      <c r="J665" s="2" t="s">
        <v>3704</v>
      </c>
      <c r="K665" s="2" t="s">
        <v>1723</v>
      </c>
      <c r="L665" s="2" t="s">
        <v>1724</v>
      </c>
      <c r="M665" s="29">
        <v>7625</v>
      </c>
      <c r="N665" s="29">
        <v>7720</v>
      </c>
      <c r="O665" s="29">
        <v>7625</v>
      </c>
      <c r="P665" s="29">
        <v>7645</v>
      </c>
      <c r="Q665" s="29">
        <v>-70</v>
      </c>
      <c r="R665" s="35">
        <v>-0.91</v>
      </c>
      <c r="S665" s="29">
        <v>2.14E-4</v>
      </c>
      <c r="T665" s="29">
        <v>1.6448600000000001E-2</v>
      </c>
      <c r="U665" s="29">
        <v>38.225000000000001</v>
      </c>
    </row>
    <row r="666" spans="7:21">
      <c r="G666" s="32">
        <v>20231215</v>
      </c>
      <c r="H666" s="32" t="s">
        <v>3705</v>
      </c>
      <c r="I666" s="33" t="s">
        <v>3706</v>
      </c>
      <c r="J666" s="2" t="s">
        <v>3707</v>
      </c>
      <c r="K666" s="2" t="s">
        <v>1723</v>
      </c>
      <c r="L666" s="2" t="s">
        <v>1724</v>
      </c>
      <c r="M666" s="29">
        <v>12355</v>
      </c>
      <c r="N666" s="29">
        <v>12370</v>
      </c>
      <c r="O666" s="29">
        <v>12265</v>
      </c>
      <c r="P666" s="29">
        <v>12315</v>
      </c>
      <c r="Q666" s="29">
        <v>150</v>
      </c>
      <c r="R666" s="35">
        <v>1.23</v>
      </c>
      <c r="S666" s="29">
        <v>2.1100000000000001E-4</v>
      </c>
      <c r="T666" s="29">
        <v>2.6062350000000001E-2</v>
      </c>
      <c r="U666" s="29">
        <v>184.72499999999999</v>
      </c>
    </row>
    <row r="667" spans="7:21">
      <c r="G667" s="32">
        <v>20231215</v>
      </c>
      <c r="H667" s="32" t="s">
        <v>3708</v>
      </c>
      <c r="I667" s="33" t="s">
        <v>3709</v>
      </c>
      <c r="J667" s="2" t="s">
        <v>3710</v>
      </c>
      <c r="K667" s="2" t="s">
        <v>1723</v>
      </c>
      <c r="L667" s="2" t="s">
        <v>1724</v>
      </c>
      <c r="M667" s="29">
        <v>5955</v>
      </c>
      <c r="N667" s="29">
        <v>5955</v>
      </c>
      <c r="O667" s="29">
        <v>5905</v>
      </c>
      <c r="P667" s="29">
        <v>5920</v>
      </c>
      <c r="Q667" s="29">
        <v>-35</v>
      </c>
      <c r="R667" s="35">
        <v>-0.59</v>
      </c>
      <c r="S667" s="29">
        <v>2.0900000000000001E-4</v>
      </c>
      <c r="T667" s="29">
        <v>1.237275E-2</v>
      </c>
      <c r="U667" s="29">
        <v>59.2</v>
      </c>
    </row>
    <row r="668" spans="7:21">
      <c r="G668" s="32">
        <v>20231215</v>
      </c>
      <c r="H668" s="32" t="s">
        <v>3711</v>
      </c>
      <c r="I668" s="33" t="s">
        <v>3712</v>
      </c>
      <c r="J668" s="2" t="s">
        <v>3713</v>
      </c>
      <c r="K668" s="2" t="s">
        <v>1723</v>
      </c>
      <c r="L668" s="2" t="s">
        <v>1724</v>
      </c>
      <c r="M668" s="29">
        <v>110415</v>
      </c>
      <c r="N668" s="29">
        <v>110415</v>
      </c>
      <c r="O668" s="29">
        <v>110375</v>
      </c>
      <c r="P668" s="29">
        <v>110390</v>
      </c>
      <c r="Q668" s="29">
        <v>55</v>
      </c>
      <c r="R668" s="35">
        <v>0.05</v>
      </c>
      <c r="S668" s="29">
        <v>1.9599999999999999E-4</v>
      </c>
      <c r="T668" s="29">
        <v>0.21639330000000001</v>
      </c>
      <c r="U668" s="29">
        <v>110.39</v>
      </c>
    </row>
    <row r="669" spans="7:21">
      <c r="G669" s="32">
        <v>20231215</v>
      </c>
      <c r="H669" s="32" t="s">
        <v>3714</v>
      </c>
      <c r="I669" s="33" t="s">
        <v>3715</v>
      </c>
      <c r="J669" s="2" t="s">
        <v>3716</v>
      </c>
      <c r="K669" s="2" t="s">
        <v>1723</v>
      </c>
      <c r="L669" s="2" t="s">
        <v>1724</v>
      </c>
      <c r="M669" s="29">
        <v>7345</v>
      </c>
      <c r="N669" s="29">
        <v>7345</v>
      </c>
      <c r="O669" s="29">
        <v>7270</v>
      </c>
      <c r="P669" s="29">
        <v>7340</v>
      </c>
      <c r="Q669" s="29">
        <v>5</v>
      </c>
      <c r="R669" s="35">
        <v>7.0000000000000007E-2</v>
      </c>
      <c r="S669" s="29">
        <v>1.8699999999999999E-4</v>
      </c>
      <c r="T669" s="29">
        <v>1.3653999999999999E-2</v>
      </c>
      <c r="U669" s="29">
        <v>40.369999999999997</v>
      </c>
    </row>
    <row r="670" spans="7:21">
      <c r="G670" s="32">
        <v>20231215</v>
      </c>
      <c r="H670" s="32" t="s">
        <v>3717</v>
      </c>
      <c r="I670" s="33" t="s">
        <v>3718</v>
      </c>
      <c r="J670" s="2" t="s">
        <v>3719</v>
      </c>
      <c r="K670" s="2" t="s">
        <v>1723</v>
      </c>
      <c r="L670" s="2" t="s">
        <v>1724</v>
      </c>
      <c r="M670" s="29">
        <v>10720</v>
      </c>
      <c r="N670" s="29">
        <v>10735</v>
      </c>
      <c r="O670" s="29">
        <v>10715</v>
      </c>
      <c r="P670" s="29">
        <v>10730</v>
      </c>
      <c r="Q670" s="29">
        <v>20</v>
      </c>
      <c r="R670" s="35">
        <v>0.19</v>
      </c>
      <c r="S670" s="29">
        <v>1.74E-4</v>
      </c>
      <c r="T670" s="29">
        <v>1.8658899999999999E-2</v>
      </c>
      <c r="U670" s="29">
        <v>53.65</v>
      </c>
    </row>
    <row r="671" spans="7:21">
      <c r="G671" s="32">
        <v>20231215</v>
      </c>
      <c r="H671" s="32" t="s">
        <v>3720</v>
      </c>
      <c r="I671" s="33" t="s">
        <v>3721</v>
      </c>
      <c r="J671" s="2" t="s">
        <v>3722</v>
      </c>
      <c r="K671" s="2" t="s">
        <v>1723</v>
      </c>
      <c r="L671" s="2" t="s">
        <v>1724</v>
      </c>
      <c r="M671" s="29">
        <v>18200</v>
      </c>
      <c r="N671" s="29">
        <v>18290</v>
      </c>
      <c r="O671" s="29">
        <v>18200</v>
      </c>
      <c r="P671" s="29">
        <v>18290</v>
      </c>
      <c r="Q671" s="29">
        <v>140</v>
      </c>
      <c r="R671" s="35">
        <v>0.77</v>
      </c>
      <c r="S671" s="29">
        <v>1.6799999999999999E-4</v>
      </c>
      <c r="T671" s="29">
        <v>3.0646099999999999E-2</v>
      </c>
      <c r="U671" s="29">
        <v>51.212000000000003</v>
      </c>
    </row>
    <row r="672" spans="7:21">
      <c r="G672" s="32">
        <v>20231215</v>
      </c>
      <c r="H672" s="32" t="s">
        <v>3723</v>
      </c>
      <c r="I672" s="33" t="s">
        <v>3724</v>
      </c>
      <c r="J672" s="2" t="s">
        <v>3725</v>
      </c>
      <c r="K672" s="2" t="s">
        <v>1723</v>
      </c>
      <c r="L672" s="2" t="s">
        <v>1724</v>
      </c>
      <c r="M672" s="29">
        <v>14310</v>
      </c>
      <c r="N672" s="29">
        <v>14540</v>
      </c>
      <c r="O672" s="29">
        <v>14310</v>
      </c>
      <c r="P672" s="29">
        <v>14400</v>
      </c>
      <c r="Q672" s="29">
        <v>0</v>
      </c>
      <c r="R672" s="35">
        <v>0</v>
      </c>
      <c r="S672" s="29">
        <v>1.64E-4</v>
      </c>
      <c r="T672" s="29">
        <v>2.3567649999999999E-2</v>
      </c>
      <c r="U672" s="29">
        <v>72</v>
      </c>
    </row>
    <row r="673" spans="7:21">
      <c r="G673" s="32">
        <v>20231215</v>
      </c>
      <c r="H673" s="32" t="s">
        <v>3726</v>
      </c>
      <c r="I673" s="33" t="s">
        <v>3727</v>
      </c>
      <c r="J673" s="2" t="s">
        <v>3728</v>
      </c>
      <c r="K673" s="2" t="s">
        <v>1723</v>
      </c>
      <c r="L673" s="2" t="s">
        <v>1724</v>
      </c>
      <c r="M673" s="29">
        <v>51105</v>
      </c>
      <c r="N673" s="29">
        <v>51115</v>
      </c>
      <c r="O673" s="29">
        <v>51105</v>
      </c>
      <c r="P673" s="29">
        <v>51115</v>
      </c>
      <c r="Q673" s="29">
        <v>30</v>
      </c>
      <c r="R673" s="35">
        <v>0.06</v>
      </c>
      <c r="S673" s="29">
        <v>1.6200000000000001E-4</v>
      </c>
      <c r="T673" s="29">
        <v>8.2791299999999998E-2</v>
      </c>
      <c r="U673" s="29">
        <v>588.84479999999996</v>
      </c>
    </row>
    <row r="674" spans="7:21">
      <c r="G674" s="32">
        <v>20231215</v>
      </c>
      <c r="H674" s="32" t="s">
        <v>3729</v>
      </c>
      <c r="I674" s="33" t="s">
        <v>3730</v>
      </c>
      <c r="J674" s="2" t="s">
        <v>3731</v>
      </c>
      <c r="K674" s="2" t="s">
        <v>1723</v>
      </c>
      <c r="L674" s="2" t="s">
        <v>1724</v>
      </c>
      <c r="M674" s="29">
        <v>8175</v>
      </c>
      <c r="N674" s="29">
        <v>8210</v>
      </c>
      <c r="O674" s="29">
        <v>8155</v>
      </c>
      <c r="P674" s="29">
        <v>8155</v>
      </c>
      <c r="Q674" s="29">
        <v>25</v>
      </c>
      <c r="R674" s="35">
        <v>0.31</v>
      </c>
      <c r="S674" s="29">
        <v>1.6100000000000001E-4</v>
      </c>
      <c r="T674" s="29">
        <v>1.316515E-2</v>
      </c>
      <c r="U674" s="29">
        <v>171.255</v>
      </c>
    </row>
    <row r="675" spans="7:21">
      <c r="G675" s="32">
        <v>20231215</v>
      </c>
      <c r="H675" s="32" t="s">
        <v>3732</v>
      </c>
      <c r="I675" s="33" t="s">
        <v>3733</v>
      </c>
      <c r="J675" s="2" t="s">
        <v>3734</v>
      </c>
      <c r="K675" s="2" t="s">
        <v>1723</v>
      </c>
      <c r="L675" s="2" t="s">
        <v>1724</v>
      </c>
      <c r="M675" s="29">
        <v>108920</v>
      </c>
      <c r="N675" s="29">
        <v>108925</v>
      </c>
      <c r="O675" s="29">
        <v>108920</v>
      </c>
      <c r="P675" s="29">
        <v>108925</v>
      </c>
      <c r="Q675" s="29">
        <v>30</v>
      </c>
      <c r="R675" s="35">
        <v>0.03</v>
      </c>
      <c r="S675" s="29">
        <v>1.6000000000000001E-4</v>
      </c>
      <c r="T675" s="29">
        <v>0.17427419999999999</v>
      </c>
      <c r="U675" s="29">
        <v>3606.50675</v>
      </c>
    </row>
    <row r="676" spans="7:21">
      <c r="G676" s="32">
        <v>20231215</v>
      </c>
      <c r="H676" s="32" t="s">
        <v>3735</v>
      </c>
      <c r="I676" s="33" t="s">
        <v>3736</v>
      </c>
      <c r="J676" s="2" t="s">
        <v>3737</v>
      </c>
      <c r="K676" s="2" t="s">
        <v>1723</v>
      </c>
      <c r="L676" s="2" t="s">
        <v>1724</v>
      </c>
      <c r="M676" s="29">
        <v>8180</v>
      </c>
      <c r="N676" s="29">
        <v>8290</v>
      </c>
      <c r="O676" s="29">
        <v>8180</v>
      </c>
      <c r="P676" s="29">
        <v>8280</v>
      </c>
      <c r="Q676" s="29">
        <v>285</v>
      </c>
      <c r="R676" s="35">
        <v>3.56</v>
      </c>
      <c r="S676" s="29">
        <v>1.5799999999999999E-4</v>
      </c>
      <c r="T676" s="29">
        <v>1.304925E-2</v>
      </c>
      <c r="U676" s="29">
        <v>136.62</v>
      </c>
    </row>
    <row r="677" spans="7:21">
      <c r="G677" s="32">
        <v>20231215</v>
      </c>
      <c r="H677" s="32" t="s">
        <v>3738</v>
      </c>
      <c r="I677" s="33" t="s">
        <v>3739</v>
      </c>
      <c r="J677" s="2" t="s">
        <v>3740</v>
      </c>
      <c r="K677" s="2" t="s">
        <v>1723</v>
      </c>
      <c r="L677" s="2" t="s">
        <v>1724</v>
      </c>
      <c r="M677" s="29">
        <v>103720</v>
      </c>
      <c r="N677" s="29">
        <v>103750</v>
      </c>
      <c r="O677" s="29">
        <v>103720</v>
      </c>
      <c r="P677" s="29">
        <v>103750</v>
      </c>
      <c r="Q677" s="29">
        <v>65</v>
      </c>
      <c r="R677" s="35">
        <v>0.06</v>
      </c>
      <c r="S677" s="29">
        <v>1.5699999999999999E-4</v>
      </c>
      <c r="T677" s="29">
        <v>0.16287214999999999</v>
      </c>
      <c r="U677" s="29">
        <v>112.05</v>
      </c>
    </row>
    <row r="678" spans="7:21">
      <c r="G678" s="32">
        <v>20231215</v>
      </c>
      <c r="H678" s="32" t="s">
        <v>3741</v>
      </c>
      <c r="I678" s="33" t="s">
        <v>3742</v>
      </c>
      <c r="J678" s="2" t="s">
        <v>3743</v>
      </c>
      <c r="K678" s="2" t="s">
        <v>1723</v>
      </c>
      <c r="L678" s="2" t="s">
        <v>1724</v>
      </c>
      <c r="M678" s="29">
        <v>55035</v>
      </c>
      <c r="N678" s="29">
        <v>55095</v>
      </c>
      <c r="O678" s="29">
        <v>55020</v>
      </c>
      <c r="P678" s="29">
        <v>55025</v>
      </c>
      <c r="Q678" s="29">
        <v>10</v>
      </c>
      <c r="R678" s="35">
        <v>0.02</v>
      </c>
      <c r="S678" s="29">
        <v>1.55E-4</v>
      </c>
      <c r="T678" s="29">
        <v>8.5348199999999999E-2</v>
      </c>
      <c r="U678" s="29">
        <v>307.03949999999998</v>
      </c>
    </row>
    <row r="679" spans="7:21">
      <c r="G679" s="32">
        <v>20231215</v>
      </c>
      <c r="H679" s="32" t="s">
        <v>3744</v>
      </c>
      <c r="I679" s="33" t="s">
        <v>3745</v>
      </c>
      <c r="J679" s="2" t="s">
        <v>3746</v>
      </c>
      <c r="K679" s="2" t="s">
        <v>1723</v>
      </c>
      <c r="L679" s="2" t="s">
        <v>1724</v>
      </c>
      <c r="M679" s="29">
        <v>7855</v>
      </c>
      <c r="N679" s="29">
        <v>7875</v>
      </c>
      <c r="O679" s="29">
        <v>7850</v>
      </c>
      <c r="P679" s="29">
        <v>7860</v>
      </c>
      <c r="Q679" s="29">
        <v>0</v>
      </c>
      <c r="R679" s="35">
        <v>0</v>
      </c>
      <c r="S679" s="29">
        <v>1.5200000000000001E-4</v>
      </c>
      <c r="T679" s="29">
        <v>1.194565E-2</v>
      </c>
      <c r="U679" s="29">
        <v>34.584000000000003</v>
      </c>
    </row>
    <row r="680" spans="7:21">
      <c r="G680" s="32">
        <v>20231215</v>
      </c>
      <c r="H680" s="32" t="s">
        <v>3747</v>
      </c>
      <c r="I680" s="33" t="s">
        <v>3748</v>
      </c>
      <c r="J680" s="2" t="s">
        <v>3749</v>
      </c>
      <c r="K680" s="2" t="s">
        <v>1723</v>
      </c>
      <c r="L680" s="2" t="s">
        <v>1724</v>
      </c>
      <c r="M680" s="29">
        <v>105340</v>
      </c>
      <c r="N680" s="29">
        <v>105350</v>
      </c>
      <c r="O680" s="29">
        <v>105335</v>
      </c>
      <c r="P680" s="29">
        <v>105345</v>
      </c>
      <c r="Q680" s="29">
        <v>40</v>
      </c>
      <c r="R680" s="35">
        <v>0.04</v>
      </c>
      <c r="S680" s="29">
        <v>1.4100000000000001E-4</v>
      </c>
      <c r="T680" s="29">
        <v>0.14852480000000001</v>
      </c>
      <c r="U680" s="29">
        <v>421.38</v>
      </c>
    </row>
    <row r="681" spans="7:21">
      <c r="G681" s="32">
        <v>20231215</v>
      </c>
      <c r="H681" s="32" t="s">
        <v>3750</v>
      </c>
      <c r="I681" s="33" t="s">
        <v>3751</v>
      </c>
      <c r="J681" s="2" t="s">
        <v>3752</v>
      </c>
      <c r="K681" s="2" t="s">
        <v>1723</v>
      </c>
      <c r="L681" s="2" t="s">
        <v>1724</v>
      </c>
      <c r="M681" s="29">
        <v>11385</v>
      </c>
      <c r="N681" s="29">
        <v>11550</v>
      </c>
      <c r="O681" s="29">
        <v>11385</v>
      </c>
      <c r="P681" s="29">
        <v>11550</v>
      </c>
      <c r="Q681" s="29">
        <v>165</v>
      </c>
      <c r="R681" s="35">
        <v>1.45</v>
      </c>
      <c r="S681" s="29">
        <v>1.3899999999999999E-4</v>
      </c>
      <c r="T681" s="29">
        <v>1.5996549999999998E-2</v>
      </c>
      <c r="U681" s="29">
        <v>40.424999999999997</v>
      </c>
    </row>
    <row r="682" spans="7:21">
      <c r="G682" s="32">
        <v>20231215</v>
      </c>
      <c r="H682" s="32" t="s">
        <v>3753</v>
      </c>
      <c r="I682" s="33" t="s">
        <v>3754</v>
      </c>
      <c r="J682" s="2" t="s">
        <v>3755</v>
      </c>
      <c r="K682" s="2" t="s">
        <v>1723</v>
      </c>
      <c r="L682" s="2" t="s">
        <v>1724</v>
      </c>
      <c r="M682" s="29">
        <v>9145</v>
      </c>
      <c r="N682" s="29">
        <v>9180</v>
      </c>
      <c r="O682" s="29">
        <v>9145</v>
      </c>
      <c r="P682" s="29">
        <v>9160</v>
      </c>
      <c r="Q682" s="29">
        <v>90</v>
      </c>
      <c r="R682" s="35">
        <v>0.99</v>
      </c>
      <c r="S682" s="29">
        <v>1.36E-4</v>
      </c>
      <c r="T682" s="29">
        <v>1.2444149999999999E-2</v>
      </c>
      <c r="U682" s="29">
        <v>54.96</v>
      </c>
    </row>
    <row r="683" spans="7:21">
      <c r="G683" s="32">
        <v>20231215</v>
      </c>
      <c r="H683" s="32" t="s">
        <v>3756</v>
      </c>
      <c r="I683" s="33" t="s">
        <v>3757</v>
      </c>
      <c r="J683" s="2" t="s">
        <v>3758</v>
      </c>
      <c r="K683" s="2" t="s">
        <v>1723</v>
      </c>
      <c r="L683" s="2" t="s">
        <v>1724</v>
      </c>
      <c r="M683" s="29">
        <v>8550</v>
      </c>
      <c r="N683" s="29">
        <v>8550</v>
      </c>
      <c r="O683" s="29">
        <v>8530</v>
      </c>
      <c r="P683" s="29">
        <v>8530</v>
      </c>
      <c r="Q683" s="29">
        <v>10</v>
      </c>
      <c r="R683" s="35">
        <v>0.12</v>
      </c>
      <c r="S683" s="29">
        <v>1.34E-4</v>
      </c>
      <c r="T683" s="29">
        <v>1.1456600000000001E-2</v>
      </c>
      <c r="U683" s="29">
        <v>42.65</v>
      </c>
    </row>
    <row r="684" spans="7:21">
      <c r="G684" s="32">
        <v>20231215</v>
      </c>
      <c r="H684" s="32" t="s">
        <v>3759</v>
      </c>
      <c r="I684" s="33" t="s">
        <v>3760</v>
      </c>
      <c r="J684" s="2" t="s">
        <v>3761</v>
      </c>
      <c r="K684" s="2" t="s">
        <v>1723</v>
      </c>
      <c r="L684" s="2" t="s">
        <v>1724</v>
      </c>
      <c r="M684" s="29">
        <v>10835</v>
      </c>
      <c r="N684" s="29">
        <v>10920</v>
      </c>
      <c r="O684" s="29">
        <v>10835</v>
      </c>
      <c r="P684" s="29">
        <v>10920</v>
      </c>
      <c r="Q684" s="29">
        <v>125</v>
      </c>
      <c r="R684" s="35">
        <v>1.1599999999999999</v>
      </c>
      <c r="S684" s="29">
        <v>1.3100000000000001E-4</v>
      </c>
      <c r="T684" s="29">
        <v>1.4259549999999999E-2</v>
      </c>
      <c r="U684" s="29">
        <v>21.84</v>
      </c>
    </row>
    <row r="685" spans="7:21">
      <c r="G685" s="32">
        <v>20231215</v>
      </c>
      <c r="H685" s="32" t="s">
        <v>3762</v>
      </c>
      <c r="I685" s="33" t="s">
        <v>3763</v>
      </c>
      <c r="J685" s="2" t="s">
        <v>3764</v>
      </c>
      <c r="K685" s="2" t="s">
        <v>1723</v>
      </c>
      <c r="L685" s="2" t="s">
        <v>1724</v>
      </c>
      <c r="M685" s="29">
        <v>10260</v>
      </c>
      <c r="N685" s="29">
        <v>10260</v>
      </c>
      <c r="O685" s="29">
        <v>10150</v>
      </c>
      <c r="P685" s="29">
        <v>10235</v>
      </c>
      <c r="Q685" s="29">
        <v>-25</v>
      </c>
      <c r="R685" s="35">
        <v>-0.24</v>
      </c>
      <c r="S685" s="29">
        <v>1.2799999999999999E-4</v>
      </c>
      <c r="T685" s="29">
        <v>1.3071650000000001E-2</v>
      </c>
      <c r="U685" s="29">
        <v>20.47</v>
      </c>
    </row>
    <row r="686" spans="7:21">
      <c r="G686" s="32">
        <v>20231215</v>
      </c>
      <c r="H686" s="32" t="s">
        <v>3765</v>
      </c>
      <c r="I686" s="33" t="s">
        <v>3766</v>
      </c>
      <c r="J686" s="2" t="s">
        <v>3767</v>
      </c>
      <c r="K686" s="2" t="s">
        <v>1723</v>
      </c>
      <c r="L686" s="2" t="s">
        <v>1724</v>
      </c>
      <c r="M686" s="29">
        <v>17380</v>
      </c>
      <c r="N686" s="29">
        <v>17410</v>
      </c>
      <c r="O686" s="29">
        <v>17310</v>
      </c>
      <c r="P686" s="29">
        <v>17315</v>
      </c>
      <c r="Q686" s="29">
        <v>130</v>
      </c>
      <c r="R686" s="35">
        <v>0.76</v>
      </c>
      <c r="S686" s="29">
        <v>1.27E-4</v>
      </c>
      <c r="T686" s="29">
        <v>2.208415E-2</v>
      </c>
      <c r="U686" s="29">
        <v>103.89</v>
      </c>
    </row>
    <row r="687" spans="7:21">
      <c r="G687" s="32">
        <v>20231215</v>
      </c>
      <c r="H687" s="32" t="s">
        <v>3768</v>
      </c>
      <c r="I687" s="33" t="s">
        <v>3769</v>
      </c>
      <c r="J687" s="2" t="s">
        <v>3770</v>
      </c>
      <c r="K687" s="2" t="s">
        <v>1723</v>
      </c>
      <c r="L687" s="2" t="s">
        <v>1724</v>
      </c>
      <c r="M687" s="29">
        <v>11280</v>
      </c>
      <c r="N687" s="29">
        <v>11360</v>
      </c>
      <c r="O687" s="29">
        <v>11280</v>
      </c>
      <c r="P687" s="29">
        <v>11345</v>
      </c>
      <c r="Q687" s="29">
        <v>100</v>
      </c>
      <c r="R687" s="35">
        <v>0.89</v>
      </c>
      <c r="S687" s="29">
        <v>1.18E-4</v>
      </c>
      <c r="T687" s="29">
        <v>1.33242E-2</v>
      </c>
      <c r="U687" s="29">
        <v>68.069999999999993</v>
      </c>
    </row>
    <row r="688" spans="7:21">
      <c r="G688" s="32">
        <v>20231215</v>
      </c>
      <c r="H688" s="32" t="s">
        <v>3771</v>
      </c>
      <c r="I688" s="33" t="s">
        <v>3772</v>
      </c>
      <c r="J688" s="2" t="s">
        <v>3773</v>
      </c>
      <c r="K688" s="2" t="s">
        <v>1723</v>
      </c>
      <c r="L688" s="2" t="s">
        <v>1724</v>
      </c>
      <c r="M688" s="29">
        <v>16760</v>
      </c>
      <c r="N688" s="29">
        <v>16775</v>
      </c>
      <c r="O688" s="29">
        <v>16745</v>
      </c>
      <c r="P688" s="29">
        <v>16745</v>
      </c>
      <c r="Q688" s="29">
        <v>-5</v>
      </c>
      <c r="R688" s="35">
        <v>-0.03</v>
      </c>
      <c r="S688" s="29">
        <v>1.17E-4</v>
      </c>
      <c r="T688" s="29">
        <v>1.96075E-2</v>
      </c>
      <c r="U688" s="29">
        <v>65.305499999999995</v>
      </c>
    </row>
    <row r="689" spans="7:21">
      <c r="G689" s="32">
        <v>20231215</v>
      </c>
      <c r="H689" s="32" t="s">
        <v>3774</v>
      </c>
      <c r="I689" s="33" t="s">
        <v>3775</v>
      </c>
      <c r="J689" s="2" t="s">
        <v>3776</v>
      </c>
      <c r="K689" s="2" t="s">
        <v>1723</v>
      </c>
      <c r="L689" s="2" t="s">
        <v>1724</v>
      </c>
      <c r="M689" s="29">
        <v>12070</v>
      </c>
      <c r="N689" s="29">
        <v>12150</v>
      </c>
      <c r="O689" s="29">
        <v>12070</v>
      </c>
      <c r="P689" s="29">
        <v>12070</v>
      </c>
      <c r="Q689" s="29">
        <v>5</v>
      </c>
      <c r="R689" s="35">
        <v>0.04</v>
      </c>
      <c r="S689" s="29">
        <v>1.16E-4</v>
      </c>
      <c r="T689" s="29">
        <v>1.40188E-2</v>
      </c>
      <c r="U689" s="29">
        <v>48.28</v>
      </c>
    </row>
    <row r="690" spans="7:21">
      <c r="G690" s="32">
        <v>20231215</v>
      </c>
      <c r="H690" s="32" t="s">
        <v>3777</v>
      </c>
      <c r="I690" s="33" t="s">
        <v>3778</v>
      </c>
      <c r="J690" s="2" t="s">
        <v>3779</v>
      </c>
      <c r="K690" s="2" t="s">
        <v>1723</v>
      </c>
      <c r="L690" s="2" t="s">
        <v>1724</v>
      </c>
      <c r="M690" s="29">
        <v>102055</v>
      </c>
      <c r="N690" s="29">
        <v>102055</v>
      </c>
      <c r="O690" s="29">
        <v>101975</v>
      </c>
      <c r="P690" s="29">
        <v>102010</v>
      </c>
      <c r="Q690" s="29">
        <v>-15</v>
      </c>
      <c r="R690" s="35">
        <v>-0.01</v>
      </c>
      <c r="S690" s="29">
        <v>1.12E-4</v>
      </c>
      <c r="T690" s="29">
        <v>0.11427365</v>
      </c>
      <c r="U690" s="29">
        <v>421.30130000000003</v>
      </c>
    </row>
    <row r="691" spans="7:21">
      <c r="G691" s="32">
        <v>20231215</v>
      </c>
      <c r="H691" s="32" t="s">
        <v>3780</v>
      </c>
      <c r="I691" s="33" t="s">
        <v>3781</v>
      </c>
      <c r="J691" s="2" t="s">
        <v>3782</v>
      </c>
      <c r="K691" s="2" t="s">
        <v>1723</v>
      </c>
      <c r="L691" s="2" t="s">
        <v>1724</v>
      </c>
      <c r="M691" s="29">
        <v>13070</v>
      </c>
      <c r="N691" s="29">
        <v>13215</v>
      </c>
      <c r="O691" s="29">
        <v>13070</v>
      </c>
      <c r="P691" s="29">
        <v>13200</v>
      </c>
      <c r="Q691" s="29">
        <v>170</v>
      </c>
      <c r="R691" s="35">
        <v>1.3</v>
      </c>
      <c r="S691" s="29">
        <v>1E-4</v>
      </c>
      <c r="T691" s="29">
        <v>1.310305E-2</v>
      </c>
      <c r="U691" s="29">
        <v>79.2</v>
      </c>
    </row>
    <row r="692" spans="7:21">
      <c r="G692" s="32">
        <v>20231215</v>
      </c>
      <c r="H692" s="32" t="s">
        <v>3783</v>
      </c>
      <c r="I692" s="33" t="s">
        <v>3784</v>
      </c>
      <c r="J692" s="2" t="s">
        <v>3785</v>
      </c>
      <c r="K692" s="2" t="s">
        <v>1723</v>
      </c>
      <c r="L692" s="2" t="s">
        <v>1724</v>
      </c>
      <c r="M692" s="29">
        <v>11800</v>
      </c>
      <c r="N692" s="29">
        <v>11800</v>
      </c>
      <c r="O692" s="29">
        <v>11455</v>
      </c>
      <c r="P692" s="29">
        <v>11535</v>
      </c>
      <c r="Q692" s="29">
        <v>170</v>
      </c>
      <c r="R692" s="35">
        <v>1.5</v>
      </c>
      <c r="S692" s="29">
        <v>9.5000000000000005E-5</v>
      </c>
      <c r="T692" s="29">
        <v>1.0933200000000001E-2</v>
      </c>
      <c r="U692" s="29">
        <v>69.209999999999994</v>
      </c>
    </row>
    <row r="693" spans="7:21">
      <c r="G693" s="32">
        <v>20231215</v>
      </c>
      <c r="H693" s="32" t="s">
        <v>3786</v>
      </c>
      <c r="I693" s="33" t="s">
        <v>3787</v>
      </c>
      <c r="J693" s="2" t="s">
        <v>3788</v>
      </c>
      <c r="K693" s="2" t="s">
        <v>1723</v>
      </c>
      <c r="L693" s="2" t="s">
        <v>1724</v>
      </c>
      <c r="M693" s="29">
        <v>12105</v>
      </c>
      <c r="N693" s="29">
        <v>12165</v>
      </c>
      <c r="O693" s="29">
        <v>12105</v>
      </c>
      <c r="P693" s="29">
        <v>12110</v>
      </c>
      <c r="Q693" s="29">
        <v>85</v>
      </c>
      <c r="R693" s="35">
        <v>0.71</v>
      </c>
      <c r="S693" s="29">
        <v>9.2999999999999997E-5</v>
      </c>
      <c r="T693" s="29">
        <v>1.1280800000000001E-2</v>
      </c>
      <c r="U693" s="29">
        <v>72.66</v>
      </c>
    </row>
    <row r="694" spans="7:21">
      <c r="G694" s="32">
        <v>20231215</v>
      </c>
      <c r="H694" s="32" t="s">
        <v>3789</v>
      </c>
      <c r="I694" s="33" t="s">
        <v>3790</v>
      </c>
      <c r="J694" s="2" t="s">
        <v>3791</v>
      </c>
      <c r="K694" s="2" t="s">
        <v>1723</v>
      </c>
      <c r="L694" s="2" t="s">
        <v>1724</v>
      </c>
      <c r="M694" s="29">
        <v>60035</v>
      </c>
      <c r="N694" s="29">
        <v>60045</v>
      </c>
      <c r="O694" s="29">
        <v>60035</v>
      </c>
      <c r="P694" s="29">
        <v>60045</v>
      </c>
      <c r="Q694" s="29">
        <v>150</v>
      </c>
      <c r="R694" s="35">
        <v>0.25</v>
      </c>
      <c r="S694" s="29">
        <v>8.7000000000000001E-5</v>
      </c>
      <c r="T694" s="29">
        <v>5.211155E-2</v>
      </c>
      <c r="U694" s="29">
        <v>144.108</v>
      </c>
    </row>
    <row r="695" spans="7:21">
      <c r="G695" s="32">
        <v>20231215</v>
      </c>
      <c r="H695" s="32" t="s">
        <v>3792</v>
      </c>
      <c r="I695" s="33" t="s">
        <v>3793</v>
      </c>
      <c r="J695" s="2" t="s">
        <v>3794</v>
      </c>
      <c r="K695" s="2" t="s">
        <v>1723</v>
      </c>
      <c r="L695" s="2" t="s">
        <v>1724</v>
      </c>
      <c r="M695" s="29">
        <v>7795</v>
      </c>
      <c r="N695" s="29">
        <v>7840</v>
      </c>
      <c r="O695" s="29">
        <v>7770</v>
      </c>
      <c r="P695" s="29">
        <v>7805</v>
      </c>
      <c r="Q695" s="29">
        <v>55</v>
      </c>
      <c r="R695" s="35">
        <v>0.71</v>
      </c>
      <c r="S695" s="29">
        <v>8.1000000000000004E-5</v>
      </c>
      <c r="T695" s="29">
        <v>6.3308499999999998E-3</v>
      </c>
      <c r="U695" s="29">
        <v>70.245000000000005</v>
      </c>
    </row>
    <row r="696" spans="7:21">
      <c r="G696" s="32">
        <v>20231215</v>
      </c>
      <c r="H696" s="32" t="s">
        <v>3795</v>
      </c>
      <c r="I696" s="33" t="s">
        <v>3796</v>
      </c>
      <c r="J696" s="2" t="s">
        <v>3797</v>
      </c>
      <c r="K696" s="2" t="s">
        <v>1723</v>
      </c>
      <c r="L696" s="2" t="s">
        <v>1724</v>
      </c>
      <c r="M696" s="29">
        <v>13960</v>
      </c>
      <c r="N696" s="29">
        <v>14015</v>
      </c>
      <c r="O696" s="29">
        <v>13915</v>
      </c>
      <c r="P696" s="29">
        <v>13915</v>
      </c>
      <c r="Q696" s="29">
        <v>15</v>
      </c>
      <c r="R696" s="35">
        <v>0.11</v>
      </c>
      <c r="S696" s="29">
        <v>7.8999999999999996E-5</v>
      </c>
      <c r="T696" s="29">
        <v>1.104745E-2</v>
      </c>
      <c r="U696" s="29">
        <v>69.575000000000003</v>
      </c>
    </row>
    <row r="697" spans="7:21">
      <c r="G697" s="32">
        <v>20231215</v>
      </c>
      <c r="H697" s="32" t="s">
        <v>3798</v>
      </c>
      <c r="I697" s="33" t="s">
        <v>3799</v>
      </c>
      <c r="J697" s="2" t="s">
        <v>3800</v>
      </c>
      <c r="K697" s="2" t="s">
        <v>1723</v>
      </c>
      <c r="L697" s="2" t="s">
        <v>1724</v>
      </c>
      <c r="M697" s="29">
        <v>19005</v>
      </c>
      <c r="N697" s="29">
        <v>19285</v>
      </c>
      <c r="O697" s="29">
        <v>19005</v>
      </c>
      <c r="P697" s="29">
        <v>19215</v>
      </c>
      <c r="Q697" s="29">
        <v>185</v>
      </c>
      <c r="R697" s="35">
        <v>0.97</v>
      </c>
      <c r="S697" s="29">
        <v>7.8999999999999996E-5</v>
      </c>
      <c r="T697" s="29">
        <v>1.51723E-2</v>
      </c>
      <c r="U697" s="29">
        <v>100.87875</v>
      </c>
    </row>
    <row r="698" spans="7:21">
      <c r="G698" s="32">
        <v>20231215</v>
      </c>
      <c r="H698" s="32" t="s">
        <v>3801</v>
      </c>
      <c r="I698" s="33" t="s">
        <v>3802</v>
      </c>
      <c r="J698" s="2" t="s">
        <v>3803</v>
      </c>
      <c r="K698" s="2" t="s">
        <v>1723</v>
      </c>
      <c r="L698" s="2" t="s">
        <v>1724</v>
      </c>
      <c r="M698" s="29">
        <v>8380</v>
      </c>
      <c r="N698" s="29">
        <v>8405</v>
      </c>
      <c r="O698" s="29">
        <v>8320</v>
      </c>
      <c r="P698" s="29">
        <v>8375</v>
      </c>
      <c r="Q698" s="29">
        <v>100</v>
      </c>
      <c r="R698" s="35">
        <v>1.21</v>
      </c>
      <c r="S698" s="29">
        <v>7.7000000000000001E-5</v>
      </c>
      <c r="T698" s="29">
        <v>6.4591500000000003E-3</v>
      </c>
      <c r="U698" s="29">
        <v>79.5625</v>
      </c>
    </row>
    <row r="699" spans="7:21">
      <c r="G699" s="32">
        <v>20231215</v>
      </c>
      <c r="H699" s="32" t="s">
        <v>3804</v>
      </c>
      <c r="I699" s="33" t="s">
        <v>3805</v>
      </c>
      <c r="J699" s="2" t="s">
        <v>3806</v>
      </c>
      <c r="K699" s="2" t="s">
        <v>1723</v>
      </c>
      <c r="L699" s="2" t="s">
        <v>1724</v>
      </c>
      <c r="M699" s="29">
        <v>11910</v>
      </c>
      <c r="N699" s="29">
        <v>12010</v>
      </c>
      <c r="O699" s="29">
        <v>11900</v>
      </c>
      <c r="P699" s="29">
        <v>11940</v>
      </c>
      <c r="Q699" s="29">
        <v>265</v>
      </c>
      <c r="R699" s="35">
        <v>2.27</v>
      </c>
      <c r="S699" s="29">
        <v>7.6000000000000004E-5</v>
      </c>
      <c r="T699" s="29">
        <v>9.0708000000000004E-3</v>
      </c>
      <c r="U699" s="29">
        <v>53.73</v>
      </c>
    </row>
    <row r="700" spans="7:21">
      <c r="G700" s="32">
        <v>20231215</v>
      </c>
      <c r="H700" s="32" t="s">
        <v>3807</v>
      </c>
      <c r="I700" s="33" t="s">
        <v>3808</v>
      </c>
      <c r="J700" s="2" t="s">
        <v>3809</v>
      </c>
      <c r="K700" s="2" t="s">
        <v>1723</v>
      </c>
      <c r="L700" s="2" t="s">
        <v>1724</v>
      </c>
      <c r="M700" s="29">
        <v>38970</v>
      </c>
      <c r="N700" s="29">
        <v>38970</v>
      </c>
      <c r="O700" s="29">
        <v>38815</v>
      </c>
      <c r="P700" s="29">
        <v>38815</v>
      </c>
      <c r="Q700" s="29">
        <v>50</v>
      </c>
      <c r="R700" s="35">
        <v>0.13</v>
      </c>
      <c r="S700" s="29">
        <v>7.4999999999999993E-5</v>
      </c>
      <c r="T700" s="29">
        <v>2.91142E-2</v>
      </c>
      <c r="U700" s="29">
        <v>77.63</v>
      </c>
    </row>
    <row r="701" spans="7:21">
      <c r="G701" s="32">
        <v>20231215</v>
      </c>
      <c r="H701" s="32" t="s">
        <v>3810</v>
      </c>
      <c r="I701" s="33" t="s">
        <v>3811</v>
      </c>
      <c r="J701" s="2" t="s">
        <v>3812</v>
      </c>
      <c r="K701" s="2" t="s">
        <v>1723</v>
      </c>
      <c r="L701" s="2" t="s">
        <v>1724</v>
      </c>
      <c r="M701" s="29">
        <v>50465</v>
      </c>
      <c r="N701" s="29">
        <v>50465</v>
      </c>
      <c r="O701" s="29">
        <v>50465</v>
      </c>
      <c r="P701" s="29">
        <v>50465</v>
      </c>
      <c r="Q701" s="29">
        <v>50</v>
      </c>
      <c r="R701" s="35">
        <v>0.1</v>
      </c>
      <c r="S701" s="29">
        <v>7.4999999999999993E-5</v>
      </c>
      <c r="T701" s="29">
        <v>3.784875E-2</v>
      </c>
      <c r="U701" s="29">
        <v>1157.6670999999999</v>
      </c>
    </row>
    <row r="702" spans="7:21">
      <c r="G702" s="32">
        <v>20231215</v>
      </c>
      <c r="H702" s="32" t="s">
        <v>3813</v>
      </c>
      <c r="I702" s="33" t="s">
        <v>3814</v>
      </c>
      <c r="J702" s="2" t="s">
        <v>3815</v>
      </c>
      <c r="K702" s="2" t="s">
        <v>1723</v>
      </c>
      <c r="L702" s="2" t="s">
        <v>1724</v>
      </c>
      <c r="M702" s="29">
        <v>14900</v>
      </c>
      <c r="N702" s="29">
        <v>14975</v>
      </c>
      <c r="O702" s="29">
        <v>14900</v>
      </c>
      <c r="P702" s="29">
        <v>14925</v>
      </c>
      <c r="Q702" s="29">
        <v>215</v>
      </c>
      <c r="R702" s="35">
        <v>1.46</v>
      </c>
      <c r="S702" s="29">
        <v>7.2999999999999999E-5</v>
      </c>
      <c r="T702" s="29">
        <v>1.0907149999999999E-2</v>
      </c>
      <c r="U702" s="29">
        <v>44.774999999999999</v>
      </c>
    </row>
    <row r="703" spans="7:21">
      <c r="G703" s="32">
        <v>20231215</v>
      </c>
      <c r="H703" s="32" t="s">
        <v>3816</v>
      </c>
      <c r="I703" s="33" t="s">
        <v>3817</v>
      </c>
      <c r="J703" s="2" t="s">
        <v>3818</v>
      </c>
      <c r="K703" s="2" t="s">
        <v>1723</v>
      </c>
      <c r="L703" s="2" t="s">
        <v>1724</v>
      </c>
      <c r="M703" s="29">
        <v>111210</v>
      </c>
      <c r="N703" s="29">
        <v>111210</v>
      </c>
      <c r="O703" s="29">
        <v>111210</v>
      </c>
      <c r="P703" s="29">
        <v>111210</v>
      </c>
      <c r="Q703" s="29">
        <v>10</v>
      </c>
      <c r="R703" s="35">
        <v>0.01</v>
      </c>
      <c r="S703" s="29">
        <v>7.2999999999999999E-5</v>
      </c>
      <c r="T703" s="29">
        <v>8.11833E-2</v>
      </c>
      <c r="U703" s="29">
        <v>57.8292</v>
      </c>
    </row>
    <row r="704" spans="7:21">
      <c r="G704" s="32">
        <v>20231215</v>
      </c>
      <c r="H704" s="32" t="s">
        <v>3819</v>
      </c>
      <c r="I704" s="33" t="s">
        <v>3820</v>
      </c>
      <c r="J704" s="2" t="s">
        <v>3821</v>
      </c>
      <c r="K704" s="2" t="s">
        <v>1723</v>
      </c>
      <c r="L704" s="2" t="s">
        <v>1724</v>
      </c>
      <c r="M704" s="29">
        <v>12875</v>
      </c>
      <c r="N704" s="29">
        <v>12875</v>
      </c>
      <c r="O704" s="29">
        <v>12805</v>
      </c>
      <c r="P704" s="29">
        <v>12805</v>
      </c>
      <c r="Q704" s="29">
        <v>110</v>
      </c>
      <c r="R704" s="35">
        <v>0.87</v>
      </c>
      <c r="S704" s="29">
        <v>7.2999999999999999E-5</v>
      </c>
      <c r="T704" s="29">
        <v>9.3580499999999997E-3</v>
      </c>
      <c r="U704" s="29">
        <v>64.025000000000006</v>
      </c>
    </row>
    <row r="705" spans="7:21">
      <c r="G705" s="32">
        <v>20231215</v>
      </c>
      <c r="H705" s="32" t="s">
        <v>3822</v>
      </c>
      <c r="I705" s="33" t="s">
        <v>3823</v>
      </c>
      <c r="J705" s="2" t="s">
        <v>3824</v>
      </c>
      <c r="K705" s="2" t="s">
        <v>1723</v>
      </c>
      <c r="L705" s="2" t="s">
        <v>1724</v>
      </c>
      <c r="M705" s="29">
        <v>20745</v>
      </c>
      <c r="N705" s="29">
        <v>20865</v>
      </c>
      <c r="O705" s="29">
        <v>20745</v>
      </c>
      <c r="P705" s="29">
        <v>20790</v>
      </c>
      <c r="Q705" s="29">
        <v>110</v>
      </c>
      <c r="R705" s="35">
        <v>0.53</v>
      </c>
      <c r="S705" s="29">
        <v>7.2999999999999999E-5</v>
      </c>
      <c r="T705" s="29">
        <v>1.5193E-2</v>
      </c>
      <c r="U705" s="29">
        <v>74.843999999999994</v>
      </c>
    </row>
    <row r="706" spans="7:21">
      <c r="G706" s="32">
        <v>20231215</v>
      </c>
      <c r="H706" s="32" t="s">
        <v>3825</v>
      </c>
      <c r="I706" s="33" t="s">
        <v>3826</v>
      </c>
      <c r="J706" s="2" t="s">
        <v>3827</v>
      </c>
      <c r="K706" s="2" t="s">
        <v>1723</v>
      </c>
      <c r="L706" s="2" t="s">
        <v>1724</v>
      </c>
      <c r="M706" s="29">
        <v>14115</v>
      </c>
      <c r="N706" s="29">
        <v>14245</v>
      </c>
      <c r="O706" s="29">
        <v>14115</v>
      </c>
      <c r="P706" s="29">
        <v>14185</v>
      </c>
      <c r="Q706" s="29">
        <v>115</v>
      </c>
      <c r="R706" s="35">
        <v>0.82</v>
      </c>
      <c r="S706" s="29">
        <v>7.2000000000000002E-5</v>
      </c>
      <c r="T706" s="29">
        <v>1.0186199999999999E-2</v>
      </c>
      <c r="U706" s="29">
        <v>70.924999999999997</v>
      </c>
    </row>
    <row r="707" spans="7:21">
      <c r="G707" s="32">
        <v>20231215</v>
      </c>
      <c r="H707" s="32" t="s">
        <v>3828</v>
      </c>
      <c r="I707" s="33" t="s">
        <v>3829</v>
      </c>
      <c r="J707" s="2" t="s">
        <v>3830</v>
      </c>
      <c r="K707" s="2" t="s">
        <v>1723</v>
      </c>
      <c r="L707" s="2" t="s">
        <v>1724</v>
      </c>
      <c r="M707" s="29">
        <v>11190</v>
      </c>
      <c r="N707" s="29">
        <v>11190</v>
      </c>
      <c r="O707" s="29">
        <v>11130</v>
      </c>
      <c r="P707" s="29">
        <v>11135</v>
      </c>
      <c r="Q707" s="29">
        <v>-55</v>
      </c>
      <c r="R707" s="35">
        <v>-0.49</v>
      </c>
      <c r="S707" s="29">
        <v>6.7999999999999999E-5</v>
      </c>
      <c r="T707" s="29">
        <v>7.5820499999999999E-3</v>
      </c>
      <c r="U707" s="29">
        <v>38.972499999999997</v>
      </c>
    </row>
    <row r="708" spans="7:21">
      <c r="G708" s="32">
        <v>20231215</v>
      </c>
      <c r="H708" s="32" t="s">
        <v>3831</v>
      </c>
      <c r="I708" s="33" t="s">
        <v>3832</v>
      </c>
      <c r="J708" s="2" t="s">
        <v>3833</v>
      </c>
      <c r="K708" s="2" t="s">
        <v>1723</v>
      </c>
      <c r="L708" s="2" t="s">
        <v>1724</v>
      </c>
      <c r="M708" s="29">
        <v>13500</v>
      </c>
      <c r="N708" s="29">
        <v>13565</v>
      </c>
      <c r="O708" s="29">
        <v>13395</v>
      </c>
      <c r="P708" s="29">
        <v>13465</v>
      </c>
      <c r="Q708" s="29">
        <v>110</v>
      </c>
      <c r="R708" s="35">
        <v>0.82</v>
      </c>
      <c r="S708" s="29">
        <v>6.7999999999999999E-5</v>
      </c>
      <c r="T708" s="29">
        <v>9.1605999999999996E-3</v>
      </c>
      <c r="U708" s="29">
        <v>188.51</v>
      </c>
    </row>
    <row r="709" spans="7:21">
      <c r="G709" s="32">
        <v>20231215</v>
      </c>
      <c r="H709" s="32" t="s">
        <v>3834</v>
      </c>
      <c r="I709" s="33" t="s">
        <v>3835</v>
      </c>
      <c r="J709" s="2" t="s">
        <v>3836</v>
      </c>
      <c r="K709" s="2" t="s">
        <v>1723</v>
      </c>
      <c r="L709" s="2" t="s">
        <v>1724</v>
      </c>
      <c r="M709" s="29">
        <v>14075</v>
      </c>
      <c r="N709" s="29">
        <v>14075</v>
      </c>
      <c r="O709" s="29">
        <v>13970</v>
      </c>
      <c r="P709" s="29">
        <v>13995</v>
      </c>
      <c r="Q709" s="29">
        <v>30</v>
      </c>
      <c r="R709" s="35">
        <v>0.21</v>
      </c>
      <c r="S709" s="29">
        <v>6.7999999999999999E-5</v>
      </c>
      <c r="T709" s="29">
        <v>9.5162500000000004E-3</v>
      </c>
      <c r="U709" s="29">
        <v>55.98</v>
      </c>
    </row>
    <row r="710" spans="7:21">
      <c r="G710" s="32">
        <v>20231215</v>
      </c>
      <c r="H710" s="32" t="s">
        <v>3837</v>
      </c>
      <c r="I710" s="33" t="s">
        <v>3838</v>
      </c>
      <c r="J710" s="2" t="s">
        <v>3839</v>
      </c>
      <c r="K710" s="2" t="s">
        <v>1723</v>
      </c>
      <c r="L710" s="2" t="s">
        <v>1724</v>
      </c>
      <c r="M710" s="29">
        <v>10235</v>
      </c>
      <c r="N710" s="29">
        <v>10260</v>
      </c>
      <c r="O710" s="29">
        <v>10235</v>
      </c>
      <c r="P710" s="29">
        <v>10260</v>
      </c>
      <c r="Q710" s="29">
        <v>120</v>
      </c>
      <c r="R710" s="35">
        <v>1.18</v>
      </c>
      <c r="S710" s="29">
        <v>6.7000000000000002E-5</v>
      </c>
      <c r="T710" s="29">
        <v>6.86945E-3</v>
      </c>
      <c r="U710" s="29">
        <v>112.86</v>
      </c>
    </row>
    <row r="711" spans="7:21">
      <c r="G711" s="32">
        <v>20231215</v>
      </c>
      <c r="H711" s="32" t="s">
        <v>3840</v>
      </c>
      <c r="I711" s="33" t="s">
        <v>3841</v>
      </c>
      <c r="J711" s="2" t="s">
        <v>3842</v>
      </c>
      <c r="K711" s="2" t="s">
        <v>1723</v>
      </c>
      <c r="L711" s="2" t="s">
        <v>1724</v>
      </c>
      <c r="M711" s="29">
        <v>7790</v>
      </c>
      <c r="N711" s="29">
        <v>7855</v>
      </c>
      <c r="O711" s="29">
        <v>7790</v>
      </c>
      <c r="P711" s="29">
        <v>7835</v>
      </c>
      <c r="Q711" s="29">
        <v>210</v>
      </c>
      <c r="R711" s="35">
        <v>2.75</v>
      </c>
      <c r="S711" s="29">
        <v>6.6000000000000005E-5</v>
      </c>
      <c r="T711" s="29">
        <v>5.1707000000000003E-3</v>
      </c>
      <c r="U711" s="29">
        <v>50.927500000000002</v>
      </c>
    </row>
    <row r="712" spans="7:21">
      <c r="G712" s="32">
        <v>20231215</v>
      </c>
      <c r="H712" s="32" t="s">
        <v>3843</v>
      </c>
      <c r="I712" s="33" t="s">
        <v>3844</v>
      </c>
      <c r="J712" s="2" t="s">
        <v>3845</v>
      </c>
      <c r="K712" s="2" t="s">
        <v>1723</v>
      </c>
      <c r="L712" s="2" t="s">
        <v>1724</v>
      </c>
      <c r="M712" s="29">
        <v>91980</v>
      </c>
      <c r="N712" s="29">
        <v>92055</v>
      </c>
      <c r="O712" s="29">
        <v>91980</v>
      </c>
      <c r="P712" s="29">
        <v>92055</v>
      </c>
      <c r="Q712" s="29">
        <v>245</v>
      </c>
      <c r="R712" s="35">
        <v>0.27</v>
      </c>
      <c r="S712" s="29">
        <v>6.6000000000000005E-5</v>
      </c>
      <c r="T712" s="29">
        <v>6.0717399999999998E-2</v>
      </c>
      <c r="U712" s="29">
        <v>1469.1977999999999</v>
      </c>
    </row>
    <row r="713" spans="7:21">
      <c r="G713" s="32">
        <v>20231215</v>
      </c>
      <c r="H713" s="32" t="s">
        <v>3846</v>
      </c>
      <c r="I713" s="33" t="s">
        <v>3847</v>
      </c>
      <c r="J713" s="2" t="s">
        <v>3848</v>
      </c>
      <c r="K713" s="2" t="s">
        <v>1723</v>
      </c>
      <c r="L713" s="2" t="s">
        <v>1724</v>
      </c>
      <c r="M713" s="29">
        <v>11255</v>
      </c>
      <c r="N713" s="29">
        <v>11255</v>
      </c>
      <c r="O713" s="29">
        <v>11240</v>
      </c>
      <c r="P713" s="29">
        <v>11240</v>
      </c>
      <c r="Q713" s="29">
        <v>105</v>
      </c>
      <c r="R713" s="35">
        <v>0.94</v>
      </c>
      <c r="S713" s="29">
        <v>6.6000000000000005E-5</v>
      </c>
      <c r="T713" s="29">
        <v>7.4230499999999996E-3</v>
      </c>
      <c r="U713" s="29">
        <v>20.231999999999999</v>
      </c>
    </row>
    <row r="714" spans="7:21">
      <c r="G714" s="32">
        <v>20231215</v>
      </c>
      <c r="H714" s="32" t="s">
        <v>3849</v>
      </c>
      <c r="I714" s="33" t="s">
        <v>3850</v>
      </c>
      <c r="J714" s="2" t="s">
        <v>3851</v>
      </c>
      <c r="K714" s="2" t="s">
        <v>1723</v>
      </c>
      <c r="L714" s="2" t="s">
        <v>1724</v>
      </c>
      <c r="M714" s="29">
        <v>108900</v>
      </c>
      <c r="N714" s="29">
        <v>108935</v>
      </c>
      <c r="O714" s="29">
        <v>108890</v>
      </c>
      <c r="P714" s="29">
        <v>108900</v>
      </c>
      <c r="Q714" s="29">
        <v>-155</v>
      </c>
      <c r="R714" s="35">
        <v>-0.14000000000000001</v>
      </c>
      <c r="S714" s="29">
        <v>6.2000000000000003E-5</v>
      </c>
      <c r="T714" s="29">
        <v>6.7514649999999995E-2</v>
      </c>
      <c r="U714" s="29">
        <v>130.68</v>
      </c>
    </row>
    <row r="715" spans="7:21">
      <c r="G715" s="32">
        <v>20231215</v>
      </c>
      <c r="H715" s="32" t="s">
        <v>3852</v>
      </c>
      <c r="I715" s="33" t="s">
        <v>3853</v>
      </c>
      <c r="J715" s="2" t="s">
        <v>3854</v>
      </c>
      <c r="K715" s="2" t="s">
        <v>1723</v>
      </c>
      <c r="L715" s="2" t="s">
        <v>1724</v>
      </c>
      <c r="M715" s="29">
        <v>11330</v>
      </c>
      <c r="N715" s="29">
        <v>11350</v>
      </c>
      <c r="O715" s="29">
        <v>11080</v>
      </c>
      <c r="P715" s="29">
        <v>11125</v>
      </c>
      <c r="Q715" s="29">
        <v>-180</v>
      </c>
      <c r="R715" s="35">
        <v>-1.59</v>
      </c>
      <c r="S715" s="29">
        <v>6.2000000000000003E-5</v>
      </c>
      <c r="T715" s="29">
        <v>6.9311499999999996E-3</v>
      </c>
      <c r="U715" s="29">
        <v>83.4375</v>
      </c>
    </row>
    <row r="716" spans="7:21">
      <c r="G716" s="32">
        <v>20231215</v>
      </c>
      <c r="H716" s="32" t="s">
        <v>3855</v>
      </c>
      <c r="I716" s="33" t="s">
        <v>3856</v>
      </c>
      <c r="J716" s="2" t="s">
        <v>3857</v>
      </c>
      <c r="K716" s="2" t="s">
        <v>1723</v>
      </c>
      <c r="L716" s="2" t="s">
        <v>1724</v>
      </c>
      <c r="M716" s="29">
        <v>12050</v>
      </c>
      <c r="N716" s="29">
        <v>12135</v>
      </c>
      <c r="O716" s="29">
        <v>12050</v>
      </c>
      <c r="P716" s="29">
        <v>12130</v>
      </c>
      <c r="Q716" s="29">
        <v>175</v>
      </c>
      <c r="R716" s="35">
        <v>1.46</v>
      </c>
      <c r="S716" s="29">
        <v>6.0999999999999999E-5</v>
      </c>
      <c r="T716" s="29">
        <v>7.3948E-3</v>
      </c>
      <c r="U716" s="29">
        <v>218.34</v>
      </c>
    </row>
    <row r="717" spans="7:21">
      <c r="G717" s="32">
        <v>20231215</v>
      </c>
      <c r="H717" s="32" t="s">
        <v>3858</v>
      </c>
      <c r="I717" s="33" t="s">
        <v>3859</v>
      </c>
      <c r="J717" s="2" t="s">
        <v>3860</v>
      </c>
      <c r="K717" s="2" t="s">
        <v>1723</v>
      </c>
      <c r="L717" s="2" t="s">
        <v>1724</v>
      </c>
      <c r="M717" s="29">
        <v>100905</v>
      </c>
      <c r="N717" s="29">
        <v>100930</v>
      </c>
      <c r="O717" s="29">
        <v>100905</v>
      </c>
      <c r="P717" s="29">
        <v>100920</v>
      </c>
      <c r="Q717" s="29">
        <v>195</v>
      </c>
      <c r="R717" s="35">
        <v>0.19</v>
      </c>
      <c r="S717" s="29">
        <v>5.3000000000000001E-5</v>
      </c>
      <c r="T717" s="29">
        <v>5.3484049999999998E-2</v>
      </c>
      <c r="U717" s="29">
        <v>354.22919999999999</v>
      </c>
    </row>
    <row r="718" spans="7:21">
      <c r="G718" s="32">
        <v>20231215</v>
      </c>
      <c r="H718" s="32" t="s">
        <v>3861</v>
      </c>
      <c r="I718" s="33" t="s">
        <v>3862</v>
      </c>
      <c r="J718" s="2" t="s">
        <v>3863</v>
      </c>
      <c r="K718" s="2" t="s">
        <v>1723</v>
      </c>
      <c r="L718" s="2" t="s">
        <v>1724</v>
      </c>
      <c r="M718" s="29">
        <v>34745</v>
      </c>
      <c r="N718" s="29">
        <v>34900</v>
      </c>
      <c r="O718" s="29">
        <v>34660</v>
      </c>
      <c r="P718" s="29">
        <v>34660</v>
      </c>
      <c r="Q718" s="29">
        <v>245</v>
      </c>
      <c r="R718" s="35">
        <v>0.71</v>
      </c>
      <c r="S718" s="29">
        <v>5.1999999999999997E-5</v>
      </c>
      <c r="T718" s="29">
        <v>1.8101949999999999E-2</v>
      </c>
      <c r="U718" s="29">
        <v>433.25</v>
      </c>
    </row>
    <row r="719" spans="7:21">
      <c r="G719" s="32">
        <v>20231215</v>
      </c>
      <c r="H719" s="32" t="s">
        <v>3864</v>
      </c>
      <c r="I719" s="33" t="s">
        <v>3865</v>
      </c>
      <c r="J719" s="2" t="s">
        <v>3866</v>
      </c>
      <c r="K719" s="2" t="s">
        <v>1723</v>
      </c>
      <c r="L719" s="2" t="s">
        <v>1724</v>
      </c>
      <c r="M719" s="29">
        <v>8520</v>
      </c>
      <c r="N719" s="29">
        <v>8625</v>
      </c>
      <c r="O719" s="29">
        <v>8510</v>
      </c>
      <c r="P719" s="29">
        <v>8575</v>
      </c>
      <c r="Q719" s="29">
        <v>180</v>
      </c>
      <c r="R719" s="35">
        <v>2.14</v>
      </c>
      <c r="S719" s="29">
        <v>5.1999999999999997E-5</v>
      </c>
      <c r="T719" s="29">
        <v>4.4519E-3</v>
      </c>
      <c r="U719" s="29">
        <v>60.024999999999999</v>
      </c>
    </row>
    <row r="720" spans="7:21">
      <c r="G720" s="32">
        <v>20231215</v>
      </c>
      <c r="H720" s="32" t="s">
        <v>3867</v>
      </c>
      <c r="I720" s="33" t="s">
        <v>3868</v>
      </c>
      <c r="J720" s="2" t="s">
        <v>3869</v>
      </c>
      <c r="K720" s="2" t="s">
        <v>1723</v>
      </c>
      <c r="L720" s="2" t="s">
        <v>1724</v>
      </c>
      <c r="M720" s="29">
        <v>11400</v>
      </c>
      <c r="N720" s="29">
        <v>11425</v>
      </c>
      <c r="O720" s="29">
        <v>11205</v>
      </c>
      <c r="P720" s="29">
        <v>11425</v>
      </c>
      <c r="Q720" s="29">
        <v>210</v>
      </c>
      <c r="R720" s="35">
        <v>1.87</v>
      </c>
      <c r="S720" s="29">
        <v>5.1E-5</v>
      </c>
      <c r="T720" s="29">
        <v>5.7784000000000004E-3</v>
      </c>
      <c r="U720" s="29">
        <v>74.262500000000003</v>
      </c>
    </row>
    <row r="721" spans="7:21">
      <c r="G721" s="32">
        <v>20231215</v>
      </c>
      <c r="H721" s="32" t="s">
        <v>3870</v>
      </c>
      <c r="I721" s="33" t="s">
        <v>3871</v>
      </c>
      <c r="J721" s="2" t="s">
        <v>3872</v>
      </c>
      <c r="K721" s="2" t="s">
        <v>1723</v>
      </c>
      <c r="L721" s="2" t="s">
        <v>1724</v>
      </c>
      <c r="M721" s="29">
        <v>15950</v>
      </c>
      <c r="N721" s="29">
        <v>16030</v>
      </c>
      <c r="O721" s="29">
        <v>15940</v>
      </c>
      <c r="P721" s="29">
        <v>15980</v>
      </c>
      <c r="Q721" s="29">
        <v>270</v>
      </c>
      <c r="R721" s="35">
        <v>1.72</v>
      </c>
      <c r="S721" s="29">
        <v>5.0000000000000002E-5</v>
      </c>
      <c r="T721" s="29">
        <v>7.9950000000000004E-3</v>
      </c>
      <c r="U721" s="29">
        <v>47.94</v>
      </c>
    </row>
    <row r="722" spans="7:21">
      <c r="G722" s="32">
        <v>20231215</v>
      </c>
      <c r="H722" s="32" t="s">
        <v>3873</v>
      </c>
      <c r="I722" s="33" t="s">
        <v>3874</v>
      </c>
      <c r="J722" s="2" t="s">
        <v>3875</v>
      </c>
      <c r="K722" s="2" t="s">
        <v>1723</v>
      </c>
      <c r="L722" s="2" t="s">
        <v>1724</v>
      </c>
      <c r="M722" s="29">
        <v>14535</v>
      </c>
      <c r="N722" s="29">
        <v>14630</v>
      </c>
      <c r="O722" s="29">
        <v>14535</v>
      </c>
      <c r="P722" s="29">
        <v>14585</v>
      </c>
      <c r="Q722" s="29">
        <v>235</v>
      </c>
      <c r="R722" s="35">
        <v>1.64</v>
      </c>
      <c r="S722" s="29">
        <v>5.0000000000000002E-5</v>
      </c>
      <c r="T722" s="29">
        <v>7.2957500000000002E-3</v>
      </c>
      <c r="U722" s="29">
        <v>1735.615</v>
      </c>
    </row>
    <row r="723" spans="7:21">
      <c r="G723" s="32">
        <v>20231215</v>
      </c>
      <c r="H723" s="32" t="s">
        <v>3876</v>
      </c>
      <c r="I723" s="33" t="s">
        <v>3877</v>
      </c>
      <c r="J723" s="2" t="s">
        <v>3878</v>
      </c>
      <c r="K723" s="2" t="s">
        <v>1723</v>
      </c>
      <c r="L723" s="2" t="s">
        <v>1724</v>
      </c>
      <c r="M723" s="29">
        <v>26185</v>
      </c>
      <c r="N723" s="29">
        <v>26355</v>
      </c>
      <c r="O723" s="29">
        <v>26185</v>
      </c>
      <c r="P723" s="29">
        <v>26270</v>
      </c>
      <c r="Q723" s="29">
        <v>365</v>
      </c>
      <c r="R723" s="35">
        <v>1.41</v>
      </c>
      <c r="S723" s="29">
        <v>4.8000000000000001E-5</v>
      </c>
      <c r="T723" s="29">
        <v>1.26205E-2</v>
      </c>
      <c r="U723" s="29">
        <v>115.58799999999999</v>
      </c>
    </row>
    <row r="724" spans="7:21">
      <c r="G724" s="32">
        <v>20231215</v>
      </c>
      <c r="H724" s="32" t="s">
        <v>3879</v>
      </c>
      <c r="I724" s="33" t="s">
        <v>3880</v>
      </c>
      <c r="J724" s="2" t="s">
        <v>3881</v>
      </c>
      <c r="K724" s="2" t="s">
        <v>1723</v>
      </c>
      <c r="L724" s="2" t="s">
        <v>1724</v>
      </c>
      <c r="M724" s="29">
        <v>12020</v>
      </c>
      <c r="N724" s="29">
        <v>12085</v>
      </c>
      <c r="O724" s="29">
        <v>11975</v>
      </c>
      <c r="P724" s="29">
        <v>11980</v>
      </c>
      <c r="Q724" s="29">
        <v>250</v>
      </c>
      <c r="R724" s="35">
        <v>2.13</v>
      </c>
      <c r="S724" s="29">
        <v>4.6999999999999997E-5</v>
      </c>
      <c r="T724" s="29">
        <v>5.6575499999999999E-3</v>
      </c>
      <c r="U724" s="29">
        <v>59.9</v>
      </c>
    </row>
    <row r="725" spans="7:21">
      <c r="G725" s="32">
        <v>20231215</v>
      </c>
      <c r="H725" s="32" t="s">
        <v>3882</v>
      </c>
      <c r="I725" s="33" t="s">
        <v>3883</v>
      </c>
      <c r="J725" s="2" t="s">
        <v>3884</v>
      </c>
      <c r="K725" s="2" t="s">
        <v>1723</v>
      </c>
      <c r="L725" s="2" t="s">
        <v>1724</v>
      </c>
      <c r="M725" s="29">
        <v>10845</v>
      </c>
      <c r="N725" s="29">
        <v>10855</v>
      </c>
      <c r="O725" s="29">
        <v>10770</v>
      </c>
      <c r="P725" s="29">
        <v>10800</v>
      </c>
      <c r="Q725" s="29">
        <v>-45</v>
      </c>
      <c r="R725" s="35">
        <v>-0.41</v>
      </c>
      <c r="S725" s="29">
        <v>4.6E-5</v>
      </c>
      <c r="T725" s="29">
        <v>4.9790499999999996E-3</v>
      </c>
      <c r="U725" s="29">
        <v>59.4</v>
      </c>
    </row>
    <row r="726" spans="7:21">
      <c r="G726" s="32">
        <v>20231215</v>
      </c>
      <c r="H726" s="32" t="s">
        <v>3885</v>
      </c>
      <c r="I726" s="33" t="s">
        <v>3886</v>
      </c>
      <c r="J726" s="2" t="s">
        <v>3887</v>
      </c>
      <c r="K726" s="2" t="s">
        <v>1723</v>
      </c>
      <c r="L726" s="2" t="s">
        <v>1724</v>
      </c>
      <c r="M726" s="29">
        <v>51105</v>
      </c>
      <c r="N726" s="29">
        <v>51115</v>
      </c>
      <c r="O726" s="29">
        <v>51100</v>
      </c>
      <c r="P726" s="29">
        <v>51115</v>
      </c>
      <c r="Q726" s="29">
        <v>15</v>
      </c>
      <c r="R726" s="35">
        <v>0.03</v>
      </c>
      <c r="S726" s="29">
        <v>4.3999999999999999E-5</v>
      </c>
      <c r="T726" s="29">
        <v>2.2486349999999999E-2</v>
      </c>
      <c r="U726" s="29">
        <v>1279.9195999999999</v>
      </c>
    </row>
    <row r="727" spans="7:21">
      <c r="G727" s="32">
        <v>20231215</v>
      </c>
      <c r="H727" s="32" t="s">
        <v>3888</v>
      </c>
      <c r="I727" s="33" t="s">
        <v>3889</v>
      </c>
      <c r="J727" s="2" t="s">
        <v>3890</v>
      </c>
      <c r="K727" s="2" t="s">
        <v>1723</v>
      </c>
      <c r="L727" s="2" t="s">
        <v>1724</v>
      </c>
      <c r="M727" s="29">
        <v>50480</v>
      </c>
      <c r="N727" s="29">
        <v>50480</v>
      </c>
      <c r="O727" s="29">
        <v>50480</v>
      </c>
      <c r="P727" s="29">
        <v>50480</v>
      </c>
      <c r="Q727" s="29">
        <v>60</v>
      </c>
      <c r="R727" s="35">
        <v>0.12</v>
      </c>
      <c r="S727" s="29">
        <v>4.1E-5</v>
      </c>
      <c r="T727" s="29">
        <v>2.0696800000000001E-2</v>
      </c>
      <c r="U727" s="29">
        <v>1728.4351999999999</v>
      </c>
    </row>
    <row r="728" spans="7:21">
      <c r="G728" s="32">
        <v>20231215</v>
      </c>
      <c r="H728" s="32" t="s">
        <v>3891</v>
      </c>
      <c r="I728" s="33" t="s">
        <v>3892</v>
      </c>
      <c r="J728" s="2" t="s">
        <v>3893</v>
      </c>
      <c r="K728" s="2" t="s">
        <v>1723</v>
      </c>
      <c r="L728" s="2" t="s">
        <v>1724</v>
      </c>
      <c r="M728" s="29">
        <v>11025</v>
      </c>
      <c r="N728" s="29">
        <v>11065</v>
      </c>
      <c r="O728" s="29">
        <v>11025</v>
      </c>
      <c r="P728" s="29">
        <v>11065</v>
      </c>
      <c r="Q728" s="29">
        <v>65</v>
      </c>
      <c r="R728" s="35">
        <v>0.59</v>
      </c>
      <c r="S728" s="29">
        <v>4.0000000000000003E-5</v>
      </c>
      <c r="T728" s="29">
        <v>4.4175000000000004E-3</v>
      </c>
      <c r="U728" s="29">
        <v>16.5975</v>
      </c>
    </row>
    <row r="729" spans="7:21">
      <c r="G729" s="32">
        <v>20231215</v>
      </c>
      <c r="H729" s="32" t="s">
        <v>3894</v>
      </c>
      <c r="I729" s="33" t="s">
        <v>3895</v>
      </c>
      <c r="J729" s="2" t="s">
        <v>3896</v>
      </c>
      <c r="K729" s="2" t="s">
        <v>1723</v>
      </c>
      <c r="L729" s="2" t="s">
        <v>1724</v>
      </c>
      <c r="M729" s="29">
        <v>12890</v>
      </c>
      <c r="N729" s="29">
        <v>12890</v>
      </c>
      <c r="O729" s="29">
        <v>12750</v>
      </c>
      <c r="P729" s="29">
        <v>12850</v>
      </c>
      <c r="Q729" s="29">
        <v>125</v>
      </c>
      <c r="R729" s="35">
        <v>0.98</v>
      </c>
      <c r="S729" s="29">
        <v>3.8000000000000002E-5</v>
      </c>
      <c r="T729" s="29">
        <v>4.8698999999999999E-3</v>
      </c>
      <c r="U729" s="29">
        <v>51.4</v>
      </c>
    </row>
    <row r="730" spans="7:21">
      <c r="G730" s="32">
        <v>20231215</v>
      </c>
      <c r="H730" s="32" t="s">
        <v>3897</v>
      </c>
      <c r="I730" s="33" t="s">
        <v>3898</v>
      </c>
      <c r="J730" s="2" t="s">
        <v>3899</v>
      </c>
      <c r="K730" s="2" t="s">
        <v>1723</v>
      </c>
      <c r="L730" s="2" t="s">
        <v>1724</v>
      </c>
      <c r="M730" s="29">
        <v>7750</v>
      </c>
      <c r="N730" s="29">
        <v>7760</v>
      </c>
      <c r="O730" s="29">
        <v>7730</v>
      </c>
      <c r="P730" s="29">
        <v>7760</v>
      </c>
      <c r="Q730" s="29">
        <v>40</v>
      </c>
      <c r="R730" s="35">
        <v>0.52</v>
      </c>
      <c r="S730" s="29">
        <v>3.6999999999999998E-5</v>
      </c>
      <c r="T730" s="29">
        <v>2.8704500000000001E-3</v>
      </c>
      <c r="U730" s="29">
        <v>259.18400000000003</v>
      </c>
    </row>
    <row r="731" spans="7:21">
      <c r="G731" s="32">
        <v>20231215</v>
      </c>
      <c r="H731" s="32" t="s">
        <v>3900</v>
      </c>
      <c r="I731" s="33" t="s">
        <v>3901</v>
      </c>
      <c r="J731" s="2" t="s">
        <v>3902</v>
      </c>
      <c r="K731" s="2" t="s">
        <v>1723</v>
      </c>
      <c r="L731" s="2" t="s">
        <v>1724</v>
      </c>
      <c r="M731" s="29">
        <v>21365</v>
      </c>
      <c r="N731" s="29">
        <v>21475</v>
      </c>
      <c r="O731" s="29">
        <v>21085</v>
      </c>
      <c r="P731" s="29">
        <v>21195</v>
      </c>
      <c r="Q731" s="29">
        <v>-225</v>
      </c>
      <c r="R731" s="35">
        <v>-1.05</v>
      </c>
      <c r="S731" s="29">
        <v>3.6999999999999998E-5</v>
      </c>
      <c r="T731" s="29">
        <v>7.8626000000000008E-3</v>
      </c>
      <c r="U731" s="29">
        <v>79.481250000000003</v>
      </c>
    </row>
    <row r="732" spans="7:21">
      <c r="G732" s="32">
        <v>20231215</v>
      </c>
      <c r="H732" s="32" t="s">
        <v>3903</v>
      </c>
      <c r="I732" s="33" t="s">
        <v>3904</v>
      </c>
      <c r="J732" s="2" t="s">
        <v>3905</v>
      </c>
      <c r="K732" s="2" t="s">
        <v>1723</v>
      </c>
      <c r="L732" s="2" t="s">
        <v>1724</v>
      </c>
      <c r="M732" s="29">
        <v>50760</v>
      </c>
      <c r="N732" s="29">
        <v>50805</v>
      </c>
      <c r="O732" s="29">
        <v>50675</v>
      </c>
      <c r="P732" s="29">
        <v>50805</v>
      </c>
      <c r="Q732" s="29">
        <v>-60</v>
      </c>
      <c r="R732" s="35">
        <v>-0.12</v>
      </c>
      <c r="S732" s="29">
        <v>3.6999999999999998E-5</v>
      </c>
      <c r="T732" s="29">
        <v>1.876245E-2</v>
      </c>
      <c r="U732" s="29">
        <v>539.54909999999995</v>
      </c>
    </row>
    <row r="733" spans="7:21">
      <c r="G733" s="32">
        <v>20231215</v>
      </c>
      <c r="H733" s="32" t="s">
        <v>3906</v>
      </c>
      <c r="I733" s="33" t="s">
        <v>3907</v>
      </c>
      <c r="J733" s="2" t="s">
        <v>3908</v>
      </c>
      <c r="K733" s="2" t="s">
        <v>1723</v>
      </c>
      <c r="L733" s="2" t="s">
        <v>1724</v>
      </c>
      <c r="M733" s="29">
        <v>100365</v>
      </c>
      <c r="N733" s="29">
        <v>100365</v>
      </c>
      <c r="O733" s="29">
        <v>100360</v>
      </c>
      <c r="P733" s="29">
        <v>100360</v>
      </c>
      <c r="Q733" s="29">
        <v>5</v>
      </c>
      <c r="R733" s="35">
        <v>0</v>
      </c>
      <c r="S733" s="29">
        <v>3.6999999999999998E-5</v>
      </c>
      <c r="T733" s="29">
        <v>3.7134649999999998E-2</v>
      </c>
      <c r="U733" s="29">
        <v>110.396</v>
      </c>
    </row>
    <row r="734" spans="7:21">
      <c r="G734" s="32">
        <v>20231215</v>
      </c>
      <c r="H734" s="32" t="s">
        <v>3909</v>
      </c>
      <c r="I734" s="33" t="s">
        <v>3910</v>
      </c>
      <c r="J734" s="2" t="s">
        <v>3911</v>
      </c>
      <c r="K734" s="2" t="s">
        <v>1723</v>
      </c>
      <c r="L734" s="2" t="s">
        <v>1724</v>
      </c>
      <c r="M734" s="29">
        <v>9370</v>
      </c>
      <c r="N734" s="29">
        <v>9450</v>
      </c>
      <c r="O734" s="29">
        <v>9370</v>
      </c>
      <c r="P734" s="29">
        <v>9410</v>
      </c>
      <c r="Q734" s="29">
        <v>115</v>
      </c>
      <c r="R734" s="35">
        <v>1.24</v>
      </c>
      <c r="S734" s="29">
        <v>3.4999999999999997E-5</v>
      </c>
      <c r="T734" s="29">
        <v>3.2988499999999999E-3</v>
      </c>
      <c r="U734" s="29">
        <v>30.111999999999998</v>
      </c>
    </row>
    <row r="735" spans="7:21">
      <c r="G735" s="32">
        <v>20231215</v>
      </c>
      <c r="H735" s="32" t="s">
        <v>3912</v>
      </c>
      <c r="I735" s="33" t="s">
        <v>3913</v>
      </c>
      <c r="J735" s="2" t="s">
        <v>3914</v>
      </c>
      <c r="K735" s="2" t="s">
        <v>1723</v>
      </c>
      <c r="L735" s="2" t="s">
        <v>1724</v>
      </c>
      <c r="M735" s="29">
        <v>11305</v>
      </c>
      <c r="N735" s="29">
        <v>11305</v>
      </c>
      <c r="O735" s="29">
        <v>11270</v>
      </c>
      <c r="P735" s="29">
        <v>11295</v>
      </c>
      <c r="Q735" s="29">
        <v>160</v>
      </c>
      <c r="R735" s="35">
        <v>1.44</v>
      </c>
      <c r="S735" s="29">
        <v>3.4999999999999997E-5</v>
      </c>
      <c r="T735" s="29">
        <v>3.9512999999999996E-3</v>
      </c>
      <c r="U735" s="29">
        <v>180.72</v>
      </c>
    </row>
    <row r="736" spans="7:21">
      <c r="G736" s="32">
        <v>20231215</v>
      </c>
      <c r="H736" s="32" t="s">
        <v>3915</v>
      </c>
      <c r="I736" s="33" t="s">
        <v>3916</v>
      </c>
      <c r="J736" s="2" t="s">
        <v>3917</v>
      </c>
      <c r="K736" s="2" t="s">
        <v>1723</v>
      </c>
      <c r="L736" s="2" t="s">
        <v>1724</v>
      </c>
      <c r="M736" s="29">
        <v>10220</v>
      </c>
      <c r="N736" s="29">
        <v>10225</v>
      </c>
      <c r="O736" s="29">
        <v>10115</v>
      </c>
      <c r="P736" s="29">
        <v>10150</v>
      </c>
      <c r="Q736" s="29">
        <v>40</v>
      </c>
      <c r="R736" s="35">
        <v>0.4</v>
      </c>
      <c r="S736" s="29">
        <v>3.4999999999999997E-5</v>
      </c>
      <c r="T736" s="29">
        <v>3.5520999999999999E-3</v>
      </c>
      <c r="U736" s="29">
        <v>81.2</v>
      </c>
    </row>
    <row r="737" spans="7:21">
      <c r="G737" s="32">
        <v>20231215</v>
      </c>
      <c r="H737" s="32" t="s">
        <v>3918</v>
      </c>
      <c r="I737" s="33" t="s">
        <v>3919</v>
      </c>
      <c r="J737" s="2" t="s">
        <v>3920</v>
      </c>
      <c r="K737" s="2" t="s">
        <v>1723</v>
      </c>
      <c r="L737" s="2" t="s">
        <v>1724</v>
      </c>
      <c r="M737" s="29">
        <v>16360</v>
      </c>
      <c r="N737" s="29">
        <v>16360</v>
      </c>
      <c r="O737" s="29">
        <v>16300</v>
      </c>
      <c r="P737" s="29">
        <v>16300</v>
      </c>
      <c r="Q737" s="29">
        <v>20</v>
      </c>
      <c r="R737" s="35">
        <v>0.12</v>
      </c>
      <c r="S737" s="29">
        <v>3.4E-5</v>
      </c>
      <c r="T737" s="29">
        <v>5.5491500000000001E-3</v>
      </c>
      <c r="U737" s="29">
        <v>97.8</v>
      </c>
    </row>
    <row r="738" spans="7:21">
      <c r="G738" s="32">
        <v>20231215</v>
      </c>
      <c r="H738" s="32" t="s">
        <v>3921</v>
      </c>
      <c r="I738" s="33" t="s">
        <v>3922</v>
      </c>
      <c r="J738" s="2" t="s">
        <v>3923</v>
      </c>
      <c r="K738" s="2" t="s">
        <v>1723</v>
      </c>
      <c r="L738" s="2" t="s">
        <v>1724</v>
      </c>
      <c r="M738" s="29">
        <v>8890</v>
      </c>
      <c r="N738" s="29">
        <v>8930</v>
      </c>
      <c r="O738" s="29">
        <v>8790</v>
      </c>
      <c r="P738" s="29">
        <v>8790</v>
      </c>
      <c r="Q738" s="29">
        <v>-50</v>
      </c>
      <c r="R738" s="35">
        <v>-0.56999999999999995</v>
      </c>
      <c r="S738" s="29">
        <v>3.3000000000000003E-5</v>
      </c>
      <c r="T738" s="29">
        <v>2.9343500000000001E-3</v>
      </c>
      <c r="U738" s="29">
        <v>43.95</v>
      </c>
    </row>
    <row r="739" spans="7:21">
      <c r="G739" s="32">
        <v>20231215</v>
      </c>
      <c r="H739" s="32" t="s">
        <v>3924</v>
      </c>
      <c r="I739" s="33" t="s">
        <v>3925</v>
      </c>
      <c r="J739" s="2" t="s">
        <v>3926</v>
      </c>
      <c r="K739" s="2" t="s">
        <v>1723</v>
      </c>
      <c r="L739" s="2" t="s">
        <v>1724</v>
      </c>
      <c r="M739" s="29">
        <v>103235</v>
      </c>
      <c r="N739" s="29">
        <v>103235</v>
      </c>
      <c r="O739" s="29">
        <v>103120</v>
      </c>
      <c r="P739" s="29">
        <v>103120</v>
      </c>
      <c r="Q739" s="29">
        <v>-185</v>
      </c>
      <c r="R739" s="35">
        <v>-0.18</v>
      </c>
      <c r="S739" s="29">
        <v>3.1000000000000001E-5</v>
      </c>
      <c r="T739" s="29">
        <v>3.2000550000000003E-2</v>
      </c>
      <c r="U739" s="29">
        <v>732.15200000000004</v>
      </c>
    </row>
    <row r="740" spans="7:21">
      <c r="G740" s="32">
        <v>20231215</v>
      </c>
      <c r="H740" s="32" t="s">
        <v>3927</v>
      </c>
      <c r="I740" s="33" t="s">
        <v>3928</v>
      </c>
      <c r="J740" s="2" t="s">
        <v>3929</v>
      </c>
      <c r="K740" s="2" t="s">
        <v>1723</v>
      </c>
      <c r="L740" s="2" t="s">
        <v>1724</v>
      </c>
      <c r="M740" s="29">
        <v>35095</v>
      </c>
      <c r="N740" s="29">
        <v>35195</v>
      </c>
      <c r="O740" s="29">
        <v>34950</v>
      </c>
      <c r="P740" s="29">
        <v>34950</v>
      </c>
      <c r="Q740" s="29">
        <v>215</v>
      </c>
      <c r="R740" s="35">
        <v>0.62</v>
      </c>
      <c r="S740" s="29">
        <v>3.0000000000000001E-5</v>
      </c>
      <c r="T740" s="29">
        <v>1.053395E-2</v>
      </c>
      <c r="U740" s="29">
        <v>87.375</v>
      </c>
    </row>
    <row r="741" spans="7:21">
      <c r="G741" s="32">
        <v>20231215</v>
      </c>
      <c r="H741" s="32" t="s">
        <v>3930</v>
      </c>
      <c r="I741" s="33" t="s">
        <v>3931</v>
      </c>
      <c r="J741" s="2" t="s">
        <v>3932</v>
      </c>
      <c r="K741" s="2" t="s">
        <v>1723</v>
      </c>
      <c r="L741" s="2" t="s">
        <v>1724</v>
      </c>
      <c r="M741" s="29">
        <v>15225</v>
      </c>
      <c r="N741" s="29">
        <v>15265</v>
      </c>
      <c r="O741" s="29">
        <v>15200</v>
      </c>
      <c r="P741" s="29">
        <v>15200</v>
      </c>
      <c r="Q741" s="29">
        <v>110</v>
      </c>
      <c r="R741" s="35">
        <v>0.73</v>
      </c>
      <c r="S741" s="29">
        <v>3.0000000000000001E-5</v>
      </c>
      <c r="T741" s="29">
        <v>4.5690000000000001E-3</v>
      </c>
      <c r="U741" s="29">
        <v>76</v>
      </c>
    </row>
    <row r="742" spans="7:21">
      <c r="G742" s="32">
        <v>20231215</v>
      </c>
      <c r="H742" s="32" t="s">
        <v>3933</v>
      </c>
      <c r="I742" s="33" t="s">
        <v>3934</v>
      </c>
      <c r="J742" s="2" t="s">
        <v>3935</v>
      </c>
      <c r="K742" s="2" t="s">
        <v>1723</v>
      </c>
      <c r="L742" s="2" t="s">
        <v>1724</v>
      </c>
      <c r="M742" s="29">
        <v>14995</v>
      </c>
      <c r="N742" s="29">
        <v>15040</v>
      </c>
      <c r="O742" s="29">
        <v>14990</v>
      </c>
      <c r="P742" s="29">
        <v>14995</v>
      </c>
      <c r="Q742" s="29">
        <v>45</v>
      </c>
      <c r="R742" s="35">
        <v>0.3</v>
      </c>
      <c r="S742" s="29">
        <v>2.9E-5</v>
      </c>
      <c r="T742" s="29">
        <v>4.3512999999999998E-3</v>
      </c>
      <c r="U742" s="29">
        <v>59.98</v>
      </c>
    </row>
    <row r="743" spans="7:21">
      <c r="G743" s="32">
        <v>20231215</v>
      </c>
      <c r="H743" s="32" t="s">
        <v>3936</v>
      </c>
      <c r="I743" s="33" t="s">
        <v>3937</v>
      </c>
      <c r="J743" s="2" t="s">
        <v>3938</v>
      </c>
      <c r="K743" s="2" t="s">
        <v>1723</v>
      </c>
      <c r="L743" s="2" t="s">
        <v>1724</v>
      </c>
      <c r="M743" s="29">
        <v>9090</v>
      </c>
      <c r="N743" s="29">
        <v>9110</v>
      </c>
      <c r="O743" s="29">
        <v>9070</v>
      </c>
      <c r="P743" s="29">
        <v>9075</v>
      </c>
      <c r="Q743" s="29">
        <v>130</v>
      </c>
      <c r="R743" s="35">
        <v>1.45</v>
      </c>
      <c r="S743" s="29">
        <v>2.5999999999999998E-5</v>
      </c>
      <c r="T743" s="29">
        <v>2.3620500000000001E-3</v>
      </c>
      <c r="U743" s="29">
        <v>45.375</v>
      </c>
    </row>
    <row r="744" spans="7:21">
      <c r="G744" s="32">
        <v>20231215</v>
      </c>
      <c r="H744" s="32" t="s">
        <v>3939</v>
      </c>
      <c r="I744" s="33" t="s">
        <v>3940</v>
      </c>
      <c r="J744" s="2" t="s">
        <v>3941</v>
      </c>
      <c r="K744" s="2" t="s">
        <v>1723</v>
      </c>
      <c r="L744" s="2" t="s">
        <v>1724</v>
      </c>
      <c r="M744" s="29">
        <v>52875</v>
      </c>
      <c r="N744" s="29">
        <v>52875</v>
      </c>
      <c r="O744" s="29">
        <v>52855</v>
      </c>
      <c r="P744" s="29">
        <v>52855</v>
      </c>
      <c r="Q744" s="29">
        <v>-90</v>
      </c>
      <c r="R744" s="35">
        <v>-0.17</v>
      </c>
      <c r="S744" s="29">
        <v>2.5999999999999998E-5</v>
      </c>
      <c r="T744" s="29">
        <v>1.37471E-2</v>
      </c>
      <c r="U744" s="29">
        <v>44.398200000000003</v>
      </c>
    </row>
    <row r="745" spans="7:21">
      <c r="G745" s="32">
        <v>20231215</v>
      </c>
      <c r="H745" s="32" t="s">
        <v>3942</v>
      </c>
      <c r="I745" s="33" t="s">
        <v>3943</v>
      </c>
      <c r="J745" s="2" t="s">
        <v>3944</v>
      </c>
      <c r="K745" s="2" t="s">
        <v>1723</v>
      </c>
      <c r="L745" s="2" t="s">
        <v>1724</v>
      </c>
      <c r="M745" s="29">
        <v>51895</v>
      </c>
      <c r="N745" s="29">
        <v>51895</v>
      </c>
      <c r="O745" s="29">
        <v>51805</v>
      </c>
      <c r="P745" s="29">
        <v>51820</v>
      </c>
      <c r="Q745" s="29">
        <v>-70</v>
      </c>
      <c r="R745" s="35">
        <v>-0.13</v>
      </c>
      <c r="S745" s="29">
        <v>2.5999999999999998E-5</v>
      </c>
      <c r="T745" s="29">
        <v>1.347455E-2</v>
      </c>
      <c r="U745" s="29">
        <v>3674.038</v>
      </c>
    </row>
    <row r="746" spans="7:21">
      <c r="G746" s="32">
        <v>20231215</v>
      </c>
      <c r="H746" s="32" t="s">
        <v>3945</v>
      </c>
      <c r="I746" s="33" t="s">
        <v>3946</v>
      </c>
      <c r="J746" s="2" t="s">
        <v>3947</v>
      </c>
      <c r="K746" s="2" t="s">
        <v>1723</v>
      </c>
      <c r="L746" s="2" t="s">
        <v>1724</v>
      </c>
      <c r="M746" s="29">
        <v>10995</v>
      </c>
      <c r="N746" s="29">
        <v>10995</v>
      </c>
      <c r="O746" s="29">
        <v>10900</v>
      </c>
      <c r="P746" s="29">
        <v>10920</v>
      </c>
      <c r="Q746" s="29">
        <v>35</v>
      </c>
      <c r="R746" s="35">
        <v>0.32</v>
      </c>
      <c r="S746" s="29">
        <v>2.5000000000000001E-5</v>
      </c>
      <c r="T746" s="29">
        <v>2.7292499999999999E-3</v>
      </c>
      <c r="U746" s="29">
        <v>27.3</v>
      </c>
    </row>
    <row r="747" spans="7:21">
      <c r="G747" s="32">
        <v>20231215</v>
      </c>
      <c r="H747" s="32" t="s">
        <v>3948</v>
      </c>
      <c r="I747" s="33" t="s">
        <v>3949</v>
      </c>
      <c r="J747" s="2" t="s">
        <v>3950</v>
      </c>
      <c r="K747" s="2" t="s">
        <v>1723</v>
      </c>
      <c r="L747" s="2" t="s">
        <v>1724</v>
      </c>
      <c r="M747" s="29">
        <v>9780</v>
      </c>
      <c r="N747" s="29">
        <v>9780</v>
      </c>
      <c r="O747" s="29">
        <v>9715</v>
      </c>
      <c r="P747" s="29">
        <v>9740</v>
      </c>
      <c r="Q747" s="29">
        <v>20</v>
      </c>
      <c r="R747" s="35">
        <v>0.21</v>
      </c>
      <c r="S747" s="29">
        <v>2.5000000000000001E-5</v>
      </c>
      <c r="T747" s="29">
        <v>2.4358499999999998E-3</v>
      </c>
      <c r="U747" s="29">
        <v>48.7</v>
      </c>
    </row>
    <row r="748" spans="7:21">
      <c r="G748" s="32">
        <v>20231215</v>
      </c>
      <c r="H748" s="32" t="s">
        <v>3951</v>
      </c>
      <c r="I748" s="33" t="s">
        <v>3952</v>
      </c>
      <c r="J748" s="2" t="s">
        <v>3953</v>
      </c>
      <c r="K748" s="2" t="s">
        <v>1723</v>
      </c>
      <c r="L748" s="2" t="s">
        <v>1724</v>
      </c>
      <c r="M748" s="29">
        <v>15785</v>
      </c>
      <c r="N748" s="29">
        <v>15985</v>
      </c>
      <c r="O748" s="29">
        <v>15785</v>
      </c>
      <c r="P748" s="29">
        <v>15985</v>
      </c>
      <c r="Q748" s="29">
        <v>130</v>
      </c>
      <c r="R748" s="35">
        <v>0.82</v>
      </c>
      <c r="S748" s="29">
        <v>2.5000000000000001E-5</v>
      </c>
      <c r="T748" s="29">
        <v>3.9582000000000003E-3</v>
      </c>
      <c r="U748" s="29">
        <v>79.924999999999997</v>
      </c>
    </row>
    <row r="749" spans="7:21">
      <c r="G749" s="32">
        <v>20231215</v>
      </c>
      <c r="H749" s="32" t="s">
        <v>3954</v>
      </c>
      <c r="I749" s="33" t="s">
        <v>3955</v>
      </c>
      <c r="J749" s="2" t="s">
        <v>3956</v>
      </c>
      <c r="K749" s="2" t="s">
        <v>1723</v>
      </c>
      <c r="L749" s="2" t="s">
        <v>1724</v>
      </c>
      <c r="M749" s="29">
        <v>13400</v>
      </c>
      <c r="N749" s="29">
        <v>13555</v>
      </c>
      <c r="O749" s="29">
        <v>13400</v>
      </c>
      <c r="P749" s="29">
        <v>13500</v>
      </c>
      <c r="Q749" s="29">
        <v>110</v>
      </c>
      <c r="R749" s="35">
        <v>0.82</v>
      </c>
      <c r="S749" s="29">
        <v>2.5000000000000001E-5</v>
      </c>
      <c r="T749" s="29">
        <v>3.3739500000000001E-3</v>
      </c>
      <c r="U749" s="29">
        <v>60.75</v>
      </c>
    </row>
    <row r="750" spans="7:21">
      <c r="G750" s="32">
        <v>20231215</v>
      </c>
      <c r="H750" s="32" t="s">
        <v>3957</v>
      </c>
      <c r="I750" s="33" t="s">
        <v>3958</v>
      </c>
      <c r="J750" s="2" t="s">
        <v>3959</v>
      </c>
      <c r="K750" s="2" t="s">
        <v>1723</v>
      </c>
      <c r="L750" s="2" t="s">
        <v>1724</v>
      </c>
      <c r="M750" s="29">
        <v>11900</v>
      </c>
      <c r="N750" s="29">
        <v>12005</v>
      </c>
      <c r="O750" s="29">
        <v>11855</v>
      </c>
      <c r="P750" s="29">
        <v>11855</v>
      </c>
      <c r="Q750" s="29">
        <v>135</v>
      </c>
      <c r="R750" s="35">
        <v>1.1499999999999999</v>
      </c>
      <c r="S750" s="29">
        <v>2.5000000000000001E-5</v>
      </c>
      <c r="T750" s="29">
        <v>2.9832000000000001E-3</v>
      </c>
      <c r="U750" s="29">
        <v>65.202500000000001</v>
      </c>
    </row>
    <row r="751" spans="7:21">
      <c r="G751" s="32">
        <v>20231215</v>
      </c>
      <c r="H751" s="32" t="s">
        <v>3960</v>
      </c>
      <c r="I751" s="33" t="s">
        <v>3961</v>
      </c>
      <c r="J751" s="2" t="s">
        <v>3962</v>
      </c>
      <c r="K751" s="2" t="s">
        <v>1723</v>
      </c>
      <c r="L751" s="2" t="s">
        <v>1724</v>
      </c>
      <c r="M751" s="29">
        <v>11420</v>
      </c>
      <c r="N751" s="29">
        <v>11455</v>
      </c>
      <c r="O751" s="29">
        <v>11375</v>
      </c>
      <c r="P751" s="29">
        <v>11455</v>
      </c>
      <c r="Q751" s="29">
        <v>85</v>
      </c>
      <c r="R751" s="35">
        <v>0.75</v>
      </c>
      <c r="S751" s="29">
        <v>2.4000000000000001E-5</v>
      </c>
      <c r="T751" s="29">
        <v>2.7414499999999999E-3</v>
      </c>
      <c r="U751" s="29">
        <v>13.746</v>
      </c>
    </row>
    <row r="752" spans="7:21">
      <c r="G752" s="32">
        <v>20231215</v>
      </c>
      <c r="H752" s="32" t="s">
        <v>3963</v>
      </c>
      <c r="I752" s="33" t="s">
        <v>3964</v>
      </c>
      <c r="J752" s="2" t="s">
        <v>3965</v>
      </c>
      <c r="K752" s="2" t="s">
        <v>1723</v>
      </c>
      <c r="L752" s="2" t="s">
        <v>1724</v>
      </c>
      <c r="M752" s="29">
        <v>15060</v>
      </c>
      <c r="N752" s="29">
        <v>15060</v>
      </c>
      <c r="O752" s="29">
        <v>15045</v>
      </c>
      <c r="P752" s="29">
        <v>15045</v>
      </c>
      <c r="Q752" s="29">
        <v>125</v>
      </c>
      <c r="R752" s="35">
        <v>0.84</v>
      </c>
      <c r="S752" s="29">
        <v>2.4000000000000001E-5</v>
      </c>
      <c r="T752" s="29">
        <v>3.6129000000000001E-3</v>
      </c>
      <c r="U752" s="29">
        <v>75.224999999999994</v>
      </c>
    </row>
    <row r="753" spans="7:21">
      <c r="G753" s="32">
        <v>20231215</v>
      </c>
      <c r="H753" s="32" t="s">
        <v>3966</v>
      </c>
      <c r="I753" s="33" t="s">
        <v>3967</v>
      </c>
      <c r="J753" s="2" t="s">
        <v>3968</v>
      </c>
      <c r="K753" s="2" t="s">
        <v>1723</v>
      </c>
      <c r="L753" s="2" t="s">
        <v>1724</v>
      </c>
      <c r="M753" s="29">
        <v>16970</v>
      </c>
      <c r="N753" s="29">
        <v>16970</v>
      </c>
      <c r="O753" s="29">
        <v>16940</v>
      </c>
      <c r="P753" s="29">
        <v>16940</v>
      </c>
      <c r="Q753" s="29">
        <v>-10</v>
      </c>
      <c r="R753" s="35">
        <v>-0.06</v>
      </c>
      <c r="S753" s="29">
        <v>2.3E-5</v>
      </c>
      <c r="T753" s="29">
        <v>3.8999500000000001E-3</v>
      </c>
      <c r="U753" s="29">
        <v>84.7</v>
      </c>
    </row>
    <row r="754" spans="7:21">
      <c r="G754" s="32">
        <v>20231215</v>
      </c>
      <c r="H754" s="32" t="s">
        <v>3969</v>
      </c>
      <c r="I754" s="33" t="s">
        <v>3970</v>
      </c>
      <c r="J754" s="2" t="s">
        <v>3971</v>
      </c>
      <c r="K754" s="2" t="s">
        <v>1723</v>
      </c>
      <c r="L754" s="2" t="s">
        <v>1724</v>
      </c>
      <c r="M754" s="29">
        <v>12850</v>
      </c>
      <c r="N754" s="29">
        <v>12850</v>
      </c>
      <c r="O754" s="29">
        <v>12800</v>
      </c>
      <c r="P754" s="29">
        <v>12805</v>
      </c>
      <c r="Q754" s="29">
        <v>80</v>
      </c>
      <c r="R754" s="35">
        <v>0.63</v>
      </c>
      <c r="S754" s="29">
        <v>2.3E-5</v>
      </c>
      <c r="T754" s="29">
        <v>2.9463499999999999E-3</v>
      </c>
      <c r="U754" s="29">
        <v>57.622500000000002</v>
      </c>
    </row>
    <row r="755" spans="7:21">
      <c r="G755" s="32">
        <v>20231215</v>
      </c>
      <c r="H755" s="32" t="s">
        <v>3972</v>
      </c>
      <c r="I755" s="33" t="s">
        <v>3973</v>
      </c>
      <c r="J755" s="2" t="s">
        <v>3974</v>
      </c>
      <c r="K755" s="2" t="s">
        <v>1723</v>
      </c>
      <c r="L755" s="2" t="s">
        <v>1724</v>
      </c>
      <c r="M755" s="29">
        <v>10840</v>
      </c>
      <c r="N755" s="29">
        <v>10900</v>
      </c>
      <c r="O755" s="29">
        <v>10790</v>
      </c>
      <c r="P755" s="29">
        <v>10830</v>
      </c>
      <c r="Q755" s="29">
        <v>115</v>
      </c>
      <c r="R755" s="35">
        <v>1.07</v>
      </c>
      <c r="S755" s="29">
        <v>2.1999999999999999E-5</v>
      </c>
      <c r="T755" s="29">
        <v>2.3915E-3</v>
      </c>
      <c r="U755" s="29">
        <v>43.32</v>
      </c>
    </row>
    <row r="756" spans="7:21">
      <c r="G756" s="32">
        <v>20231215</v>
      </c>
      <c r="H756" s="32" t="s">
        <v>3975</v>
      </c>
      <c r="I756" s="33" t="s">
        <v>3976</v>
      </c>
      <c r="J756" s="2" t="s">
        <v>3977</v>
      </c>
      <c r="K756" s="2" t="s">
        <v>1723</v>
      </c>
      <c r="L756" s="2" t="s">
        <v>1724</v>
      </c>
      <c r="M756" s="29">
        <v>101740</v>
      </c>
      <c r="N756" s="29">
        <v>101750</v>
      </c>
      <c r="O756" s="29">
        <v>101740</v>
      </c>
      <c r="P756" s="29">
        <v>101750</v>
      </c>
      <c r="Q756" s="29">
        <v>25</v>
      </c>
      <c r="R756" s="35">
        <v>0.02</v>
      </c>
      <c r="S756" s="29">
        <v>2.1999999999999999E-5</v>
      </c>
      <c r="T756" s="29">
        <v>2.2383650000000001E-2</v>
      </c>
      <c r="U756" s="29">
        <v>1357.345</v>
      </c>
    </row>
    <row r="757" spans="7:21">
      <c r="G757" s="32">
        <v>20231215</v>
      </c>
      <c r="H757" s="32" t="s">
        <v>3978</v>
      </c>
      <c r="I757" s="33" t="s">
        <v>3979</v>
      </c>
      <c r="J757" s="2" t="s">
        <v>3980</v>
      </c>
      <c r="K757" s="2" t="s">
        <v>1723</v>
      </c>
      <c r="L757" s="2" t="s">
        <v>1724</v>
      </c>
      <c r="M757" s="29">
        <v>13335</v>
      </c>
      <c r="N757" s="29">
        <v>13400</v>
      </c>
      <c r="O757" s="29">
        <v>13155</v>
      </c>
      <c r="P757" s="29">
        <v>13205</v>
      </c>
      <c r="Q757" s="29">
        <v>-30</v>
      </c>
      <c r="R757" s="35">
        <v>-0.23</v>
      </c>
      <c r="S757" s="29">
        <v>2.0999999999999999E-5</v>
      </c>
      <c r="T757" s="29">
        <v>2.7942499999999999E-3</v>
      </c>
      <c r="U757" s="29">
        <v>256.17700000000002</v>
      </c>
    </row>
    <row r="758" spans="7:21">
      <c r="G758" s="32">
        <v>20231215</v>
      </c>
      <c r="H758" s="32" t="s">
        <v>3981</v>
      </c>
      <c r="I758" s="33" t="s">
        <v>3982</v>
      </c>
      <c r="J758" s="2" t="s">
        <v>3983</v>
      </c>
      <c r="K758" s="2" t="s">
        <v>1723</v>
      </c>
      <c r="L758" s="2" t="s">
        <v>1724</v>
      </c>
      <c r="M758" s="29">
        <v>16205</v>
      </c>
      <c r="N758" s="29">
        <v>16220</v>
      </c>
      <c r="O758" s="29">
        <v>16145</v>
      </c>
      <c r="P758" s="29">
        <v>16185</v>
      </c>
      <c r="Q758" s="29">
        <v>170</v>
      </c>
      <c r="R758" s="35">
        <v>1.06</v>
      </c>
      <c r="S758" s="29">
        <v>2.0000000000000002E-5</v>
      </c>
      <c r="T758" s="29">
        <v>3.2374000000000001E-3</v>
      </c>
      <c r="U758" s="29">
        <v>97.11</v>
      </c>
    </row>
    <row r="759" spans="7:21">
      <c r="G759" s="32">
        <v>20231215</v>
      </c>
      <c r="H759" s="32" t="s">
        <v>3984</v>
      </c>
      <c r="I759" s="33" t="s">
        <v>3985</v>
      </c>
      <c r="J759" s="2" t="s">
        <v>3986</v>
      </c>
      <c r="K759" s="2" t="s">
        <v>1723</v>
      </c>
      <c r="L759" s="2" t="s">
        <v>1724</v>
      </c>
      <c r="M759" s="29">
        <v>15465</v>
      </c>
      <c r="N759" s="29">
        <v>15470</v>
      </c>
      <c r="O759" s="29">
        <v>15420</v>
      </c>
      <c r="P759" s="29">
        <v>15435</v>
      </c>
      <c r="Q759" s="29">
        <v>-65</v>
      </c>
      <c r="R759" s="35">
        <v>-0.42</v>
      </c>
      <c r="S759" s="29">
        <v>2.0000000000000002E-5</v>
      </c>
      <c r="T759" s="29">
        <v>3.0883500000000001E-3</v>
      </c>
      <c r="U759" s="29">
        <v>69.457499999999996</v>
      </c>
    </row>
    <row r="760" spans="7:21">
      <c r="G760" s="32">
        <v>20231215</v>
      </c>
      <c r="H760" s="32" t="s">
        <v>3987</v>
      </c>
      <c r="I760" s="33" t="s">
        <v>3988</v>
      </c>
      <c r="J760" s="2" t="s">
        <v>3989</v>
      </c>
      <c r="K760" s="2" t="s">
        <v>1723</v>
      </c>
      <c r="L760" s="2" t="s">
        <v>1724</v>
      </c>
      <c r="M760" s="29">
        <v>9480</v>
      </c>
      <c r="N760" s="29">
        <v>9510</v>
      </c>
      <c r="O760" s="29">
        <v>9480</v>
      </c>
      <c r="P760" s="29">
        <v>9510</v>
      </c>
      <c r="Q760" s="29">
        <v>75</v>
      </c>
      <c r="R760" s="35">
        <v>0.79</v>
      </c>
      <c r="S760" s="29">
        <v>1.2999999999999999E-5</v>
      </c>
      <c r="T760" s="29">
        <v>1.2344999999999999E-3</v>
      </c>
      <c r="U760" s="29">
        <v>47.55</v>
      </c>
    </row>
    <row r="761" spans="7:21">
      <c r="G761" s="32">
        <v>20231215</v>
      </c>
      <c r="H761" s="32" t="s">
        <v>3990</v>
      </c>
      <c r="I761" s="33" t="s">
        <v>3991</v>
      </c>
      <c r="J761" s="2" t="s">
        <v>3992</v>
      </c>
      <c r="K761" s="2" t="s">
        <v>1723</v>
      </c>
      <c r="L761" s="2" t="s">
        <v>1724</v>
      </c>
      <c r="M761" s="29">
        <v>7505</v>
      </c>
      <c r="N761" s="29">
        <v>7505</v>
      </c>
      <c r="O761" s="29">
        <v>7465</v>
      </c>
      <c r="P761" s="29">
        <v>7465</v>
      </c>
      <c r="Q761" s="29">
        <v>90</v>
      </c>
      <c r="R761" s="35">
        <v>1.22</v>
      </c>
      <c r="S761" s="29">
        <v>1.2999999999999999E-5</v>
      </c>
      <c r="T761" s="29">
        <v>9.7165000000000001E-4</v>
      </c>
      <c r="U761" s="29">
        <v>89.58</v>
      </c>
    </row>
    <row r="762" spans="7:21">
      <c r="G762" s="32">
        <v>20231215</v>
      </c>
      <c r="H762" s="32" t="s">
        <v>3993</v>
      </c>
      <c r="I762" s="33" t="s">
        <v>3994</v>
      </c>
      <c r="J762" s="2" t="s">
        <v>3995</v>
      </c>
      <c r="K762" s="2" t="s">
        <v>1723</v>
      </c>
      <c r="L762" s="2" t="s">
        <v>1724</v>
      </c>
      <c r="M762" s="29">
        <v>6360</v>
      </c>
      <c r="N762" s="29">
        <v>6360</v>
      </c>
      <c r="O762" s="29">
        <v>6360</v>
      </c>
      <c r="P762" s="29">
        <v>6360</v>
      </c>
      <c r="Q762" s="29">
        <v>95</v>
      </c>
      <c r="R762" s="35">
        <v>1.52</v>
      </c>
      <c r="S762" s="29">
        <v>1.2E-5</v>
      </c>
      <c r="T762" s="29">
        <v>7.6320000000000001E-4</v>
      </c>
      <c r="U762" s="29">
        <v>57.24</v>
      </c>
    </row>
    <row r="763" spans="7:21">
      <c r="G763" s="32">
        <v>20231215</v>
      </c>
      <c r="H763" s="32" t="s">
        <v>3996</v>
      </c>
      <c r="I763" s="33" t="s">
        <v>3997</v>
      </c>
      <c r="J763" s="2" t="s">
        <v>3998</v>
      </c>
      <c r="K763" s="2" t="s">
        <v>1723</v>
      </c>
      <c r="L763" s="2" t="s">
        <v>1724</v>
      </c>
      <c r="M763" s="29">
        <v>11750</v>
      </c>
      <c r="N763" s="29">
        <v>11750</v>
      </c>
      <c r="O763" s="29">
        <v>11750</v>
      </c>
      <c r="P763" s="29">
        <v>11750</v>
      </c>
      <c r="Q763" s="29">
        <v>10</v>
      </c>
      <c r="R763" s="35">
        <v>0.09</v>
      </c>
      <c r="S763" s="29">
        <v>1.1E-5</v>
      </c>
      <c r="T763" s="29">
        <v>1.2925E-3</v>
      </c>
      <c r="U763" s="29">
        <v>61.1</v>
      </c>
    </row>
    <row r="764" spans="7:21">
      <c r="G764" s="32">
        <v>20231215</v>
      </c>
      <c r="H764" s="32" t="s">
        <v>3999</v>
      </c>
      <c r="I764" s="33" t="s">
        <v>4000</v>
      </c>
      <c r="J764" s="2" t="s">
        <v>4001</v>
      </c>
      <c r="K764" s="2" t="s">
        <v>1723</v>
      </c>
      <c r="L764" s="2" t="s">
        <v>1724</v>
      </c>
      <c r="M764" s="29">
        <v>105315</v>
      </c>
      <c r="N764" s="29">
        <v>105315</v>
      </c>
      <c r="O764" s="29">
        <v>105245</v>
      </c>
      <c r="P764" s="29">
        <v>105245</v>
      </c>
      <c r="Q764" s="29">
        <v>-185</v>
      </c>
      <c r="R764" s="35">
        <v>-0.18</v>
      </c>
      <c r="S764" s="29">
        <v>1.1E-5</v>
      </c>
      <c r="T764" s="29">
        <v>1.1583950000000001E-2</v>
      </c>
      <c r="U764" s="29">
        <v>4427.65715</v>
      </c>
    </row>
    <row r="765" spans="7:21">
      <c r="G765" s="32">
        <v>20231215</v>
      </c>
      <c r="H765" s="32" t="s">
        <v>4002</v>
      </c>
      <c r="I765" s="33" t="s">
        <v>4003</v>
      </c>
      <c r="J765" s="2" t="s">
        <v>4004</v>
      </c>
      <c r="K765" s="2" t="s">
        <v>1723</v>
      </c>
      <c r="L765" s="2" t="s">
        <v>1724</v>
      </c>
      <c r="M765" s="29">
        <v>106100</v>
      </c>
      <c r="N765" s="29">
        <v>106100</v>
      </c>
      <c r="O765" s="29">
        <v>105920</v>
      </c>
      <c r="P765" s="29">
        <v>105970</v>
      </c>
      <c r="Q765" s="29">
        <v>-255</v>
      </c>
      <c r="R765" s="35">
        <v>-0.24</v>
      </c>
      <c r="S765" s="29">
        <v>1.1E-5</v>
      </c>
      <c r="T765" s="29">
        <v>1.1657900000000001E-2</v>
      </c>
      <c r="U765" s="29">
        <v>2300.6087000000002</v>
      </c>
    </row>
    <row r="766" spans="7:21">
      <c r="G766" s="32">
        <v>20231215</v>
      </c>
      <c r="H766" s="32" t="s">
        <v>4005</v>
      </c>
      <c r="I766" s="33" t="s">
        <v>4006</v>
      </c>
      <c r="J766" s="2" t="s">
        <v>4007</v>
      </c>
      <c r="K766" s="2" t="s">
        <v>1723</v>
      </c>
      <c r="L766" s="2" t="s">
        <v>1724</v>
      </c>
      <c r="M766" s="29">
        <v>13895</v>
      </c>
      <c r="N766" s="29">
        <v>13990</v>
      </c>
      <c r="O766" s="29">
        <v>13895</v>
      </c>
      <c r="P766" s="29">
        <v>13910</v>
      </c>
      <c r="Q766" s="29">
        <v>130</v>
      </c>
      <c r="R766" s="35">
        <v>0.94</v>
      </c>
      <c r="S766" s="29">
        <v>1.0000000000000001E-5</v>
      </c>
      <c r="T766" s="29">
        <v>1.3958E-3</v>
      </c>
      <c r="U766" s="29">
        <v>20.864999999999998</v>
      </c>
    </row>
    <row r="767" spans="7:21">
      <c r="G767" s="32">
        <v>20231215</v>
      </c>
      <c r="H767" s="32" t="s">
        <v>4008</v>
      </c>
      <c r="I767" s="33" t="s">
        <v>4009</v>
      </c>
      <c r="J767" s="2" t="s">
        <v>4010</v>
      </c>
      <c r="K767" s="2" t="s">
        <v>1723</v>
      </c>
      <c r="L767" s="2" t="s">
        <v>1724</v>
      </c>
      <c r="M767" s="29">
        <v>10190</v>
      </c>
      <c r="N767" s="29">
        <v>10190</v>
      </c>
      <c r="O767" s="29">
        <v>10190</v>
      </c>
      <c r="P767" s="29">
        <v>10190</v>
      </c>
      <c r="Q767" s="29">
        <v>285</v>
      </c>
      <c r="R767" s="35">
        <v>2.88</v>
      </c>
      <c r="S767" s="29">
        <v>1.0000000000000001E-5</v>
      </c>
      <c r="T767" s="29">
        <v>1.0189999999999999E-3</v>
      </c>
      <c r="U767" s="29">
        <v>70.311000000000007</v>
      </c>
    </row>
    <row r="768" spans="7:21">
      <c r="G768" s="32">
        <v>20231215</v>
      </c>
      <c r="H768" s="32" t="s">
        <v>4011</v>
      </c>
      <c r="I768" s="33" t="s">
        <v>4012</v>
      </c>
      <c r="J768" s="2" t="s">
        <v>4013</v>
      </c>
      <c r="K768" s="2" t="s">
        <v>1723</v>
      </c>
      <c r="L768" s="2" t="s">
        <v>1724</v>
      </c>
      <c r="M768" s="29">
        <v>102770</v>
      </c>
      <c r="N768" s="29">
        <v>102770</v>
      </c>
      <c r="O768" s="29">
        <v>102710</v>
      </c>
      <c r="P768" s="29">
        <v>102750</v>
      </c>
      <c r="Q768" s="29">
        <v>-115</v>
      </c>
      <c r="R768" s="35">
        <v>-0.11</v>
      </c>
      <c r="S768" s="29">
        <v>1.0000000000000001E-5</v>
      </c>
      <c r="T768" s="29">
        <v>1.0272E-2</v>
      </c>
      <c r="U768" s="29">
        <v>750.07500000000005</v>
      </c>
    </row>
    <row r="769" spans="7:21">
      <c r="G769" s="32">
        <v>20231215</v>
      </c>
      <c r="H769" s="32" t="s">
        <v>4014</v>
      </c>
      <c r="I769" s="33" t="s">
        <v>4015</v>
      </c>
      <c r="J769" s="2" t="s">
        <v>4016</v>
      </c>
      <c r="K769" s="2" t="s">
        <v>1723</v>
      </c>
      <c r="L769" s="2" t="s">
        <v>1724</v>
      </c>
      <c r="M769" s="29">
        <v>11915</v>
      </c>
      <c r="N769" s="29">
        <v>11915</v>
      </c>
      <c r="O769" s="29">
        <v>11915</v>
      </c>
      <c r="P769" s="29">
        <v>11915</v>
      </c>
      <c r="Q769" s="29">
        <v>20</v>
      </c>
      <c r="R769" s="35">
        <v>0.17</v>
      </c>
      <c r="S769" s="29">
        <v>9.0000000000000002E-6</v>
      </c>
      <c r="T769" s="29">
        <v>1.0723499999999999E-3</v>
      </c>
      <c r="U769" s="29">
        <v>53.6175</v>
      </c>
    </row>
    <row r="770" spans="7:21">
      <c r="G770" s="32">
        <v>20231215</v>
      </c>
      <c r="H770" s="32" t="s">
        <v>4017</v>
      </c>
      <c r="I770" s="33" t="s">
        <v>4018</v>
      </c>
      <c r="J770" s="2" t="s">
        <v>4019</v>
      </c>
      <c r="K770" s="2" t="s">
        <v>1723</v>
      </c>
      <c r="L770" s="2" t="s">
        <v>1724</v>
      </c>
      <c r="M770" s="29">
        <v>14010</v>
      </c>
      <c r="N770" s="29">
        <v>14095</v>
      </c>
      <c r="O770" s="29">
        <v>14010</v>
      </c>
      <c r="P770" s="29">
        <v>14010</v>
      </c>
      <c r="Q770" s="29">
        <v>90</v>
      </c>
      <c r="R770" s="35">
        <v>0.65</v>
      </c>
      <c r="S770" s="29">
        <v>9.0000000000000002E-6</v>
      </c>
      <c r="T770" s="29">
        <v>1.2656500000000001E-3</v>
      </c>
      <c r="U770" s="29">
        <v>21.015000000000001</v>
      </c>
    </row>
    <row r="771" spans="7:21">
      <c r="G771" s="32">
        <v>20231215</v>
      </c>
      <c r="H771" s="32" t="s">
        <v>4020</v>
      </c>
      <c r="I771" s="33" t="s">
        <v>4021</v>
      </c>
      <c r="J771" s="2" t="s">
        <v>4022</v>
      </c>
      <c r="K771" s="2" t="s">
        <v>1723</v>
      </c>
      <c r="L771" s="2" t="s">
        <v>1724</v>
      </c>
      <c r="M771" s="29">
        <v>105525</v>
      </c>
      <c r="N771" s="29">
        <v>105550</v>
      </c>
      <c r="O771" s="29">
        <v>105525</v>
      </c>
      <c r="P771" s="29">
        <v>105530</v>
      </c>
      <c r="Q771" s="29">
        <v>5</v>
      </c>
      <c r="R771" s="35">
        <v>0</v>
      </c>
      <c r="S771" s="29">
        <v>9.0000000000000002E-6</v>
      </c>
      <c r="T771" s="29">
        <v>9.4984500000000003E-3</v>
      </c>
      <c r="U771" s="29">
        <v>261.71440000000001</v>
      </c>
    </row>
    <row r="772" spans="7:21">
      <c r="G772" s="32">
        <v>20231215</v>
      </c>
      <c r="H772" s="32" t="s">
        <v>4023</v>
      </c>
      <c r="I772" s="33" t="s">
        <v>4024</v>
      </c>
      <c r="J772" s="2" t="s">
        <v>4025</v>
      </c>
      <c r="K772" s="2" t="s">
        <v>1723</v>
      </c>
      <c r="L772" s="2" t="s">
        <v>1724</v>
      </c>
      <c r="M772" s="29">
        <v>54000</v>
      </c>
      <c r="N772" s="29">
        <v>54000</v>
      </c>
      <c r="O772" s="29">
        <v>53940</v>
      </c>
      <c r="P772" s="29">
        <v>53950</v>
      </c>
      <c r="Q772" s="29">
        <v>15</v>
      </c>
      <c r="R772" s="35">
        <v>0.03</v>
      </c>
      <c r="S772" s="29">
        <v>6.9999999999999999E-6</v>
      </c>
      <c r="T772" s="29">
        <v>3.7770999999999998E-3</v>
      </c>
      <c r="U772" s="29">
        <v>77.688000000000002</v>
      </c>
    </row>
    <row r="773" spans="7:21">
      <c r="G773" s="32">
        <v>20231215</v>
      </c>
      <c r="H773" s="32" t="s">
        <v>4026</v>
      </c>
      <c r="I773" s="33" t="s">
        <v>4027</v>
      </c>
      <c r="J773" s="2" t="s">
        <v>4028</v>
      </c>
      <c r="K773" s="2" t="s">
        <v>1723</v>
      </c>
      <c r="L773" s="2" t="s">
        <v>1724</v>
      </c>
      <c r="M773" s="29">
        <v>9665</v>
      </c>
      <c r="N773" s="29">
        <v>9670</v>
      </c>
      <c r="O773" s="29">
        <v>9665</v>
      </c>
      <c r="P773" s="29">
        <v>9670</v>
      </c>
      <c r="Q773" s="29">
        <v>80</v>
      </c>
      <c r="R773" s="35">
        <v>0.83</v>
      </c>
      <c r="S773" s="29">
        <v>6.9999999999999999E-6</v>
      </c>
      <c r="T773" s="29">
        <v>6.7659999999999997E-4</v>
      </c>
      <c r="U773" s="29">
        <v>38.68</v>
      </c>
    </row>
    <row r="774" spans="7:21">
      <c r="G774" s="32">
        <v>20231215</v>
      </c>
      <c r="H774" s="32" t="s">
        <v>4029</v>
      </c>
      <c r="I774" s="33" t="s">
        <v>4030</v>
      </c>
      <c r="J774" s="2" t="s">
        <v>4031</v>
      </c>
      <c r="K774" s="2" t="s">
        <v>1723</v>
      </c>
      <c r="L774" s="2" t="s">
        <v>1724</v>
      </c>
      <c r="M774" s="29">
        <v>10960</v>
      </c>
      <c r="N774" s="29">
        <v>11030</v>
      </c>
      <c r="O774" s="29">
        <v>10960</v>
      </c>
      <c r="P774" s="29">
        <v>11030</v>
      </c>
      <c r="Q774" s="29">
        <v>70</v>
      </c>
      <c r="R774" s="35">
        <v>0.64</v>
      </c>
      <c r="S774" s="29">
        <v>6.9999999999999999E-6</v>
      </c>
      <c r="T774" s="29">
        <v>7.6840000000000003E-4</v>
      </c>
      <c r="U774" s="29">
        <v>66.180000000000007</v>
      </c>
    </row>
    <row r="775" spans="7:21">
      <c r="G775" s="32">
        <v>20231215</v>
      </c>
      <c r="H775" s="32" t="s">
        <v>4032</v>
      </c>
      <c r="I775" s="33" t="s">
        <v>4033</v>
      </c>
      <c r="J775" s="2" t="s">
        <v>4034</v>
      </c>
      <c r="K775" s="2" t="s">
        <v>1723</v>
      </c>
      <c r="L775" s="2" t="s">
        <v>1724</v>
      </c>
      <c r="M775" s="29">
        <v>107070</v>
      </c>
      <c r="N775" s="29">
        <v>107280</v>
      </c>
      <c r="O775" s="29">
        <v>107070</v>
      </c>
      <c r="P775" s="29">
        <v>107070</v>
      </c>
      <c r="Q775" s="29">
        <v>380</v>
      </c>
      <c r="R775" s="35">
        <v>0.36</v>
      </c>
      <c r="S775" s="29">
        <v>6.9999999999999999E-6</v>
      </c>
      <c r="T775" s="29">
        <v>7.4970000000000002E-3</v>
      </c>
      <c r="U775" s="29">
        <v>3663.9353999999998</v>
      </c>
    </row>
    <row r="776" spans="7:21">
      <c r="G776" s="32">
        <v>20231215</v>
      </c>
      <c r="H776" s="32" t="s">
        <v>4035</v>
      </c>
      <c r="I776" s="33" t="s">
        <v>4036</v>
      </c>
      <c r="J776" s="2" t="s">
        <v>4037</v>
      </c>
      <c r="K776" s="2" t="s">
        <v>1723</v>
      </c>
      <c r="L776" s="2" t="s">
        <v>1724</v>
      </c>
      <c r="M776" s="29">
        <v>9965</v>
      </c>
      <c r="N776" s="29">
        <v>9965</v>
      </c>
      <c r="O776" s="29">
        <v>9910</v>
      </c>
      <c r="P776" s="29">
        <v>9945</v>
      </c>
      <c r="Q776" s="29">
        <v>50</v>
      </c>
      <c r="R776" s="35">
        <v>0.51</v>
      </c>
      <c r="S776" s="29">
        <v>6.0000000000000002E-6</v>
      </c>
      <c r="T776" s="29">
        <v>5.9570000000000001E-4</v>
      </c>
      <c r="U776" s="29">
        <v>54.697499999999998</v>
      </c>
    </row>
    <row r="777" spans="7:21">
      <c r="G777" s="32">
        <v>20231215</v>
      </c>
      <c r="H777" s="32" t="s">
        <v>4038</v>
      </c>
      <c r="I777" s="33" t="s">
        <v>4039</v>
      </c>
      <c r="J777" s="2" t="s">
        <v>4040</v>
      </c>
      <c r="K777" s="2" t="s">
        <v>1723</v>
      </c>
      <c r="L777" s="2" t="s">
        <v>1724</v>
      </c>
      <c r="M777" s="29">
        <v>10085</v>
      </c>
      <c r="N777" s="29">
        <v>10095</v>
      </c>
      <c r="O777" s="29">
        <v>10065</v>
      </c>
      <c r="P777" s="29">
        <v>10070</v>
      </c>
      <c r="Q777" s="29">
        <v>0</v>
      </c>
      <c r="R777" s="35">
        <v>0</v>
      </c>
      <c r="S777" s="29">
        <v>6.0000000000000002E-6</v>
      </c>
      <c r="T777" s="29">
        <v>6.0479999999999996E-4</v>
      </c>
      <c r="U777" s="29">
        <v>65.454999999999998</v>
      </c>
    </row>
    <row r="778" spans="7:21">
      <c r="G778" s="32">
        <v>20231215</v>
      </c>
      <c r="H778" s="32" t="s">
        <v>4041</v>
      </c>
      <c r="I778" s="33" t="s">
        <v>4042</v>
      </c>
      <c r="J778" s="2" t="s">
        <v>4043</v>
      </c>
      <c r="K778" s="2" t="s">
        <v>1723</v>
      </c>
      <c r="L778" s="2" t="s">
        <v>1724</v>
      </c>
      <c r="M778" s="29">
        <v>16340</v>
      </c>
      <c r="N778" s="29">
        <v>16395</v>
      </c>
      <c r="O778" s="29">
        <v>16340</v>
      </c>
      <c r="P778" s="29">
        <v>16360</v>
      </c>
      <c r="Q778" s="29">
        <v>135</v>
      </c>
      <c r="R778" s="35">
        <v>0.83</v>
      </c>
      <c r="S778" s="29">
        <v>5.0000000000000004E-6</v>
      </c>
      <c r="T778" s="29">
        <v>8.1800000000000004E-4</v>
      </c>
      <c r="U778" s="29">
        <v>114.52</v>
      </c>
    </row>
    <row r="779" spans="7:21">
      <c r="G779" s="32">
        <v>20231215</v>
      </c>
      <c r="H779" s="32" t="s">
        <v>4044</v>
      </c>
      <c r="I779" s="33" t="s">
        <v>4045</v>
      </c>
      <c r="J779" s="2" t="s">
        <v>4046</v>
      </c>
      <c r="K779" s="2" t="s">
        <v>1723</v>
      </c>
      <c r="L779" s="2" t="s">
        <v>1724</v>
      </c>
      <c r="M779" s="29">
        <v>26600</v>
      </c>
      <c r="N779" s="29">
        <v>26600</v>
      </c>
      <c r="O779" s="29">
        <v>26525</v>
      </c>
      <c r="P779" s="29">
        <v>26525</v>
      </c>
      <c r="Q779" s="29">
        <v>215</v>
      </c>
      <c r="R779" s="35">
        <v>0.82</v>
      </c>
      <c r="S779" s="29">
        <v>3.9999999999999998E-6</v>
      </c>
      <c r="T779" s="29">
        <v>1.06175E-3</v>
      </c>
      <c r="U779" s="29">
        <v>63.66</v>
      </c>
    </row>
    <row r="780" spans="7:21">
      <c r="G780" s="32">
        <v>20231215</v>
      </c>
      <c r="H780" s="32" t="s">
        <v>4047</v>
      </c>
      <c r="I780" s="33" t="s">
        <v>4048</v>
      </c>
      <c r="J780" s="2" t="s">
        <v>4049</v>
      </c>
      <c r="K780" s="2" t="s">
        <v>1723</v>
      </c>
      <c r="L780" s="2" t="s">
        <v>1724</v>
      </c>
      <c r="M780" s="29">
        <v>11130</v>
      </c>
      <c r="N780" s="29">
        <v>11155</v>
      </c>
      <c r="O780" s="29">
        <v>11100</v>
      </c>
      <c r="P780" s="29">
        <v>11100</v>
      </c>
      <c r="Q780" s="29">
        <v>100</v>
      </c>
      <c r="R780" s="35">
        <v>0.91</v>
      </c>
      <c r="S780" s="29">
        <v>3.9999999999999998E-6</v>
      </c>
      <c r="T780" s="29">
        <v>4.4515000000000001E-4</v>
      </c>
      <c r="U780" s="29">
        <v>66.599999999999994</v>
      </c>
    </row>
    <row r="781" spans="7:21">
      <c r="G781" s="32">
        <v>20231215</v>
      </c>
      <c r="H781" s="32" t="s">
        <v>4050</v>
      </c>
      <c r="I781" s="33" t="s">
        <v>4051</v>
      </c>
      <c r="J781" s="2" t="s">
        <v>4052</v>
      </c>
      <c r="K781" s="2" t="s">
        <v>1723</v>
      </c>
      <c r="L781" s="2" t="s">
        <v>1724</v>
      </c>
      <c r="M781" s="29">
        <v>107060</v>
      </c>
      <c r="N781" s="29">
        <v>107060</v>
      </c>
      <c r="O781" s="29">
        <v>107025</v>
      </c>
      <c r="P781" s="29">
        <v>107025</v>
      </c>
      <c r="Q781" s="29">
        <v>15</v>
      </c>
      <c r="R781" s="35">
        <v>0.01</v>
      </c>
      <c r="S781" s="29">
        <v>3.9999999999999998E-6</v>
      </c>
      <c r="T781" s="29">
        <v>4.2814999999999997E-3</v>
      </c>
      <c r="U781" s="29">
        <v>504.08775000000003</v>
      </c>
    </row>
    <row r="782" spans="7:21">
      <c r="G782" s="32">
        <v>20231215</v>
      </c>
      <c r="H782" s="32" t="s">
        <v>4053</v>
      </c>
      <c r="I782" s="33" t="s">
        <v>4054</v>
      </c>
      <c r="J782" s="2" t="s">
        <v>4055</v>
      </c>
      <c r="K782" s="2" t="s">
        <v>1723</v>
      </c>
      <c r="L782" s="2" t="s">
        <v>1724</v>
      </c>
      <c r="M782" s="29">
        <v>49305</v>
      </c>
      <c r="N782" s="29">
        <v>49305</v>
      </c>
      <c r="O782" s="29">
        <v>49305</v>
      </c>
      <c r="P782" s="29">
        <v>49305</v>
      </c>
      <c r="Q782" s="29">
        <v>-90</v>
      </c>
      <c r="R782" s="35">
        <v>-0.18</v>
      </c>
      <c r="S782" s="29">
        <v>3.9999999999999998E-6</v>
      </c>
      <c r="T782" s="29">
        <v>1.9721999999999999E-3</v>
      </c>
      <c r="U782" s="29">
        <v>32.5413</v>
      </c>
    </row>
    <row r="783" spans="7:21">
      <c r="G783" s="32">
        <v>20231215</v>
      </c>
      <c r="H783" s="32" t="s">
        <v>4056</v>
      </c>
      <c r="I783" s="33" t="s">
        <v>4057</v>
      </c>
      <c r="J783" s="2" t="s">
        <v>4058</v>
      </c>
      <c r="K783" s="2" t="s">
        <v>1723</v>
      </c>
      <c r="L783" s="2" t="s">
        <v>1724</v>
      </c>
      <c r="M783" s="29">
        <v>52680</v>
      </c>
      <c r="N783" s="29">
        <v>52695</v>
      </c>
      <c r="O783" s="29">
        <v>52680</v>
      </c>
      <c r="P783" s="29">
        <v>52695</v>
      </c>
      <c r="Q783" s="29">
        <v>-120</v>
      </c>
      <c r="R783" s="35">
        <v>-0.23</v>
      </c>
      <c r="S783" s="29">
        <v>3.9999999999999998E-6</v>
      </c>
      <c r="T783" s="29">
        <v>2.1075500000000001E-3</v>
      </c>
      <c r="U783" s="29">
        <v>76.934700000000007</v>
      </c>
    </row>
    <row r="784" spans="7:21">
      <c r="G784" s="32">
        <v>20231215</v>
      </c>
      <c r="H784" s="32" t="s">
        <v>4059</v>
      </c>
      <c r="I784" s="33" t="s">
        <v>4060</v>
      </c>
      <c r="J784" s="2" t="s">
        <v>4061</v>
      </c>
      <c r="K784" s="2" t="s">
        <v>1723</v>
      </c>
      <c r="L784" s="2" t="s">
        <v>1724</v>
      </c>
      <c r="M784" s="29">
        <v>10145</v>
      </c>
      <c r="N784" s="29">
        <v>10155</v>
      </c>
      <c r="O784" s="29">
        <v>10145</v>
      </c>
      <c r="P784" s="29">
        <v>10155</v>
      </c>
      <c r="Q784" s="29">
        <v>55</v>
      </c>
      <c r="R784" s="35">
        <v>0.54</v>
      </c>
      <c r="S784" s="29">
        <v>1.9999999999999999E-6</v>
      </c>
      <c r="T784" s="29">
        <v>2.03E-4</v>
      </c>
      <c r="U784" s="29">
        <v>91.394999999999996</v>
      </c>
    </row>
    <row r="785" spans="7:21">
      <c r="G785" s="32">
        <v>20231215</v>
      </c>
      <c r="H785" s="32" t="s">
        <v>4062</v>
      </c>
      <c r="I785" s="33" t="s">
        <v>4063</v>
      </c>
      <c r="J785" s="2" t="s">
        <v>4064</v>
      </c>
      <c r="K785" s="2" t="s">
        <v>1723</v>
      </c>
      <c r="L785" s="2" t="s">
        <v>1724</v>
      </c>
      <c r="M785" s="29">
        <v>53535</v>
      </c>
      <c r="N785" s="29">
        <v>53550</v>
      </c>
      <c r="O785" s="29">
        <v>53535</v>
      </c>
      <c r="P785" s="29">
        <v>53550</v>
      </c>
      <c r="Q785" s="29">
        <v>0</v>
      </c>
      <c r="R785" s="35">
        <v>0</v>
      </c>
      <c r="S785" s="29">
        <v>1.9999999999999999E-6</v>
      </c>
      <c r="T785" s="29">
        <v>1.0708499999999999E-3</v>
      </c>
      <c r="U785" s="29">
        <v>64.260000000000005</v>
      </c>
    </row>
    <row r="786" spans="7:21">
      <c r="G786" s="32">
        <v>20231215</v>
      </c>
      <c r="H786" s="32" t="s">
        <v>4065</v>
      </c>
      <c r="I786" s="33" t="s">
        <v>4066</v>
      </c>
      <c r="J786" s="2" t="s">
        <v>4067</v>
      </c>
      <c r="K786" s="2" t="s">
        <v>1723</v>
      </c>
      <c r="L786" s="2" t="s">
        <v>1724</v>
      </c>
      <c r="M786" s="29">
        <v>11730</v>
      </c>
      <c r="N786" s="29">
        <v>11730</v>
      </c>
      <c r="O786" s="29">
        <v>11645</v>
      </c>
      <c r="P786" s="29">
        <v>11645</v>
      </c>
      <c r="Q786" s="29">
        <v>-85</v>
      </c>
      <c r="R786" s="35">
        <v>-0.72</v>
      </c>
      <c r="S786" s="29">
        <v>1.9999999999999999E-6</v>
      </c>
      <c r="T786" s="29">
        <v>2.3374999999999999E-4</v>
      </c>
      <c r="U786" s="29">
        <v>98.982500000000002</v>
      </c>
    </row>
    <row r="787" spans="7:21">
      <c r="G787" s="32">
        <v>20231215</v>
      </c>
      <c r="H787" s="32" t="s">
        <v>4068</v>
      </c>
      <c r="I787" s="33" t="s">
        <v>4069</v>
      </c>
      <c r="J787" s="2" t="s">
        <v>4070</v>
      </c>
      <c r="K787" s="2" t="s">
        <v>1723</v>
      </c>
      <c r="L787" s="2" t="s">
        <v>1724</v>
      </c>
      <c r="M787" s="29">
        <v>37470</v>
      </c>
      <c r="N787" s="29">
        <v>37470</v>
      </c>
      <c r="O787" s="29">
        <v>37470</v>
      </c>
      <c r="P787" s="29">
        <v>37470</v>
      </c>
      <c r="Q787" s="29">
        <v>340</v>
      </c>
      <c r="R787" s="35">
        <v>0.92</v>
      </c>
      <c r="S787" s="29">
        <v>9.9999999999999995E-7</v>
      </c>
      <c r="T787" s="29">
        <v>3.747E-4</v>
      </c>
      <c r="U787" s="29">
        <v>93.674999999999997</v>
      </c>
    </row>
    <row r="788" spans="7:21">
      <c r="G788" s="32">
        <v>20231215</v>
      </c>
      <c r="H788" s="32" t="s">
        <v>4071</v>
      </c>
      <c r="I788" s="33" t="s">
        <v>4072</v>
      </c>
      <c r="J788" s="2" t="s">
        <v>4073</v>
      </c>
      <c r="K788" s="2" t="s">
        <v>1723</v>
      </c>
      <c r="L788" s="2" t="s">
        <v>1724</v>
      </c>
      <c r="M788" s="29">
        <v>16500</v>
      </c>
      <c r="N788" s="29">
        <v>16500</v>
      </c>
      <c r="O788" s="29">
        <v>16500</v>
      </c>
      <c r="P788" s="29">
        <v>16500</v>
      </c>
      <c r="Q788" s="29">
        <v>100</v>
      </c>
      <c r="R788" s="35">
        <v>0.61</v>
      </c>
      <c r="S788" s="29">
        <v>9.9999999999999995E-7</v>
      </c>
      <c r="T788" s="29">
        <v>1.65E-4</v>
      </c>
      <c r="U788" s="29">
        <v>132</v>
      </c>
    </row>
    <row r="789" spans="7:21">
      <c r="G789" s="32">
        <v>20231215</v>
      </c>
      <c r="H789" s="32" t="s">
        <v>4074</v>
      </c>
      <c r="I789" s="33" t="s">
        <v>4075</v>
      </c>
      <c r="J789" s="2" t="s">
        <v>4076</v>
      </c>
      <c r="K789" s="2" t="s">
        <v>1723</v>
      </c>
      <c r="L789" s="2" t="s">
        <v>1724</v>
      </c>
      <c r="M789" s="29">
        <v>8645</v>
      </c>
      <c r="N789" s="29">
        <v>8645</v>
      </c>
      <c r="O789" s="29">
        <v>8645</v>
      </c>
      <c r="P789" s="29">
        <v>8645</v>
      </c>
      <c r="Q789" s="29">
        <v>50</v>
      </c>
      <c r="R789" s="35">
        <v>0.57999999999999996</v>
      </c>
      <c r="S789" s="29">
        <v>9.9999999999999995E-7</v>
      </c>
      <c r="T789" s="29">
        <v>8.6450000000000001E-5</v>
      </c>
      <c r="U789" s="29">
        <v>60.515000000000001</v>
      </c>
    </row>
    <row r="790" spans="7:21">
      <c r="G790" s="32">
        <v>20231215</v>
      </c>
      <c r="H790" s="32" t="s">
        <v>4077</v>
      </c>
      <c r="I790" s="33" t="s">
        <v>4078</v>
      </c>
      <c r="J790" s="2" t="s">
        <v>4079</v>
      </c>
      <c r="K790" s="2" t="s">
        <v>1723</v>
      </c>
      <c r="L790" s="2" t="s">
        <v>1724</v>
      </c>
      <c r="M790" s="29">
        <v>8145</v>
      </c>
      <c r="N790" s="29">
        <v>8145</v>
      </c>
      <c r="O790" s="29">
        <v>8145</v>
      </c>
      <c r="P790" s="29">
        <v>8145</v>
      </c>
      <c r="Q790" s="29">
        <v>25</v>
      </c>
      <c r="R790" s="35">
        <v>0.31</v>
      </c>
      <c r="S790" s="29">
        <v>9.9999999999999995E-7</v>
      </c>
      <c r="T790" s="29">
        <v>8.1450000000000001E-5</v>
      </c>
      <c r="U790" s="29">
        <v>65.16</v>
      </c>
    </row>
    <row r="791" spans="7:21">
      <c r="G791" s="32">
        <v>20231215</v>
      </c>
      <c r="H791" s="32" t="s">
        <v>4080</v>
      </c>
      <c r="I791" s="33" t="s">
        <v>4081</v>
      </c>
      <c r="J791" s="2" t="s">
        <v>4082</v>
      </c>
      <c r="K791" s="2" t="s">
        <v>1723</v>
      </c>
      <c r="L791" s="2" t="s">
        <v>1724</v>
      </c>
      <c r="M791" s="29">
        <v>49940</v>
      </c>
      <c r="N791" s="29">
        <v>49940</v>
      </c>
      <c r="O791" s="29">
        <v>49940</v>
      </c>
      <c r="P791" s="29">
        <v>49940</v>
      </c>
      <c r="Q791" s="29">
        <v>-35</v>
      </c>
      <c r="R791" s="35">
        <v>-7.0000000000000007E-2</v>
      </c>
      <c r="S791" s="29">
        <v>9.9999999999999995E-7</v>
      </c>
      <c r="T791" s="29">
        <v>4.994E-4</v>
      </c>
      <c r="U791" s="29">
        <v>74.91</v>
      </c>
    </row>
    <row r="792" spans="7:21">
      <c r="G792" s="32">
        <v>20231215</v>
      </c>
      <c r="H792" s="32" t="s">
        <v>4083</v>
      </c>
      <c r="I792" s="33" t="s">
        <v>4084</v>
      </c>
      <c r="J792" s="2" t="s">
        <v>4085</v>
      </c>
      <c r="K792" s="2" t="s">
        <v>1723</v>
      </c>
      <c r="L792" s="2" t="s">
        <v>1724</v>
      </c>
      <c r="M792" s="29">
        <v>53595</v>
      </c>
      <c r="N792" s="29">
        <v>53595</v>
      </c>
      <c r="O792" s="29">
        <v>53595</v>
      </c>
      <c r="P792" s="29">
        <v>53595</v>
      </c>
      <c r="Q792" s="29">
        <v>60</v>
      </c>
      <c r="R792" s="35">
        <v>0.11</v>
      </c>
      <c r="S792" s="29">
        <v>0</v>
      </c>
      <c r="T792" s="29">
        <v>0</v>
      </c>
      <c r="U792" s="29">
        <v>64.313999999999993</v>
      </c>
    </row>
    <row r="793" spans="7:21">
      <c r="G793" s="32">
        <v>20231215</v>
      </c>
      <c r="H793" s="32" t="s">
        <v>4086</v>
      </c>
      <c r="I793" s="33" t="s">
        <v>4087</v>
      </c>
      <c r="J793" s="2" t="s">
        <v>4088</v>
      </c>
      <c r="K793" s="2" t="s">
        <v>1723</v>
      </c>
      <c r="L793" s="2" t="s">
        <v>1724</v>
      </c>
      <c r="M793" s="29">
        <v>8485</v>
      </c>
      <c r="N793" s="29">
        <v>8485</v>
      </c>
      <c r="O793" s="29">
        <v>8485</v>
      </c>
      <c r="P793" s="29">
        <v>8485</v>
      </c>
      <c r="Q793" s="29">
        <v>20</v>
      </c>
      <c r="R793" s="35">
        <v>0.24</v>
      </c>
      <c r="S793" s="29">
        <v>0</v>
      </c>
      <c r="T793" s="29">
        <v>0</v>
      </c>
      <c r="U793" s="29">
        <v>42.424999999999997</v>
      </c>
    </row>
    <row r="794" spans="7:21">
      <c r="G794" s="32">
        <v>20231215</v>
      </c>
      <c r="H794" s="32" t="s">
        <v>4089</v>
      </c>
      <c r="I794" s="33" t="s">
        <v>4090</v>
      </c>
      <c r="J794" s="2" t="s">
        <v>4091</v>
      </c>
      <c r="K794" s="2" t="s">
        <v>1723</v>
      </c>
      <c r="L794" s="2" t="s">
        <v>1724</v>
      </c>
      <c r="M794" s="29">
        <v>10620</v>
      </c>
      <c r="N794" s="29">
        <v>10620</v>
      </c>
      <c r="O794" s="29">
        <v>10620</v>
      </c>
      <c r="P794" s="29">
        <v>10620</v>
      </c>
      <c r="Q794" s="29">
        <v>20</v>
      </c>
      <c r="R794" s="35">
        <v>0.19</v>
      </c>
      <c r="S794" s="29">
        <v>0</v>
      </c>
      <c r="T794" s="29">
        <v>0</v>
      </c>
      <c r="U794" s="29">
        <v>63.72</v>
      </c>
    </row>
    <row r="795" spans="7:21">
      <c r="G795" s="32">
        <v>20231215</v>
      </c>
      <c r="H795" s="32" t="s">
        <v>4092</v>
      </c>
      <c r="I795" s="33" t="s">
        <v>4093</v>
      </c>
      <c r="J795" s="2" t="s">
        <v>4094</v>
      </c>
      <c r="K795" s="2" t="s">
        <v>1723</v>
      </c>
      <c r="L795" s="2" t="s">
        <v>1724</v>
      </c>
      <c r="M795" s="29">
        <v>9590</v>
      </c>
      <c r="N795" s="29">
        <v>9590</v>
      </c>
      <c r="O795" s="29">
        <v>9590</v>
      </c>
      <c r="P795" s="29">
        <v>9590</v>
      </c>
      <c r="Q795" s="29">
        <v>0</v>
      </c>
      <c r="R795" s="35">
        <v>0</v>
      </c>
      <c r="S795" s="29">
        <v>0</v>
      </c>
      <c r="T795" s="29">
        <v>0</v>
      </c>
      <c r="U795" s="29">
        <v>177.41499999999999</v>
      </c>
    </row>
    <row r="796" spans="7:21">
      <c r="G796" s="32">
        <v>20231215</v>
      </c>
      <c r="H796" s="32" t="s">
        <v>4095</v>
      </c>
      <c r="I796" s="33" t="s">
        <v>4096</v>
      </c>
      <c r="J796" s="2" t="s">
        <v>4097</v>
      </c>
      <c r="K796" s="2" t="s">
        <v>1723</v>
      </c>
      <c r="L796" s="2" t="s">
        <v>1724</v>
      </c>
      <c r="M796" s="29">
        <v>11005</v>
      </c>
      <c r="N796" s="29">
        <v>11005</v>
      </c>
      <c r="O796" s="29">
        <v>11005</v>
      </c>
      <c r="P796" s="29">
        <v>11005</v>
      </c>
      <c r="Q796" s="29">
        <v>0</v>
      </c>
      <c r="R796" s="35">
        <v>0</v>
      </c>
      <c r="S796" s="29">
        <v>0</v>
      </c>
      <c r="T796" s="29">
        <v>0</v>
      </c>
      <c r="U796" s="29">
        <v>66.03</v>
      </c>
    </row>
    <row r="797" spans="7:21">
      <c r="G797" s="32">
        <v>20231215</v>
      </c>
      <c r="H797" s="32" t="s">
        <v>4098</v>
      </c>
      <c r="I797" s="33" t="s">
        <v>4099</v>
      </c>
      <c r="J797" s="2" t="s">
        <v>4100</v>
      </c>
      <c r="K797" s="2" t="s">
        <v>1723</v>
      </c>
      <c r="L797" s="2" t="s">
        <v>1724</v>
      </c>
      <c r="M797" s="29">
        <v>10405</v>
      </c>
      <c r="N797" s="29">
        <v>10405</v>
      </c>
      <c r="O797" s="29">
        <v>10405</v>
      </c>
      <c r="P797" s="29">
        <v>10405</v>
      </c>
      <c r="Q797" s="29">
        <v>0</v>
      </c>
      <c r="R797" s="35">
        <v>0</v>
      </c>
      <c r="S797" s="29">
        <v>0</v>
      </c>
      <c r="T797" s="29">
        <v>0</v>
      </c>
      <c r="U797" s="29">
        <v>62.43</v>
      </c>
    </row>
    <row r="798" spans="7:21">
      <c r="G798" s="32">
        <v>20231215</v>
      </c>
      <c r="H798" s="32" t="s">
        <v>4101</v>
      </c>
      <c r="I798" s="33" t="s">
        <v>4102</v>
      </c>
      <c r="J798" s="2" t="s">
        <v>4103</v>
      </c>
      <c r="K798" s="2" t="s">
        <v>1723</v>
      </c>
      <c r="L798" s="2" t="s">
        <v>1724</v>
      </c>
      <c r="M798" s="29">
        <v>7780</v>
      </c>
      <c r="N798" s="29">
        <v>7780</v>
      </c>
      <c r="O798" s="29">
        <v>7780</v>
      </c>
      <c r="P798" s="29">
        <v>7780</v>
      </c>
      <c r="Q798" s="29">
        <v>15</v>
      </c>
      <c r="R798" s="35">
        <v>0.19</v>
      </c>
      <c r="S798" s="29">
        <v>0</v>
      </c>
      <c r="T798" s="29">
        <v>0</v>
      </c>
      <c r="U798" s="29">
        <v>31.12</v>
      </c>
    </row>
    <row r="799" spans="7:21">
      <c r="G799" s="32">
        <v>20231215</v>
      </c>
      <c r="H799" s="32" t="s">
        <v>4104</v>
      </c>
      <c r="I799" s="33" t="s">
        <v>4105</v>
      </c>
      <c r="J799" s="2" t="s">
        <v>4106</v>
      </c>
      <c r="K799" s="2" t="s">
        <v>1723</v>
      </c>
      <c r="L799" s="2" t="s">
        <v>1724</v>
      </c>
      <c r="M799" s="29">
        <v>54125</v>
      </c>
      <c r="N799" s="29">
        <v>54125</v>
      </c>
      <c r="O799" s="29">
        <v>54125</v>
      </c>
      <c r="P799" s="29">
        <v>54125</v>
      </c>
      <c r="Q799" s="29">
        <v>-20</v>
      </c>
      <c r="R799" s="35">
        <v>-0.04</v>
      </c>
      <c r="S799" s="29">
        <v>0</v>
      </c>
      <c r="T799" s="29">
        <v>0</v>
      </c>
      <c r="U799" s="29">
        <v>60.62</v>
      </c>
    </row>
    <row r="800" spans="7:21">
      <c r="G800" s="32">
        <v>20231215</v>
      </c>
      <c r="H800" s="32" t="s">
        <v>4107</v>
      </c>
      <c r="I800" s="33" t="s">
        <v>4108</v>
      </c>
      <c r="J800" s="2" t="s">
        <v>4109</v>
      </c>
      <c r="K800" s="2" t="s">
        <v>1723</v>
      </c>
      <c r="L800" s="2" t="s">
        <v>1724</v>
      </c>
      <c r="M800" s="29">
        <v>109500</v>
      </c>
      <c r="N800" s="29">
        <v>109500</v>
      </c>
      <c r="O800" s="29">
        <v>109500</v>
      </c>
      <c r="P800" s="29">
        <v>109500</v>
      </c>
      <c r="Q800" s="29">
        <v>250</v>
      </c>
      <c r="R800" s="35">
        <v>0.23</v>
      </c>
      <c r="S800" s="29">
        <v>0</v>
      </c>
      <c r="T800" s="29">
        <v>0</v>
      </c>
      <c r="U800" s="29">
        <v>54.75</v>
      </c>
    </row>
    <row r="801" spans="7:21">
      <c r="G801" s="32">
        <v>20231215</v>
      </c>
      <c r="H801" s="32" t="s">
        <v>4110</v>
      </c>
      <c r="I801" s="33" t="s">
        <v>4111</v>
      </c>
      <c r="J801" s="2" t="s">
        <v>4112</v>
      </c>
      <c r="K801" s="2" t="s">
        <v>1723</v>
      </c>
      <c r="L801" s="2" t="s">
        <v>1724</v>
      </c>
      <c r="M801" s="29">
        <v>107845</v>
      </c>
      <c r="N801" s="29">
        <v>107845</v>
      </c>
      <c r="O801" s="29">
        <v>107845</v>
      </c>
      <c r="P801" s="29">
        <v>107845</v>
      </c>
      <c r="Q801" s="29">
        <v>15</v>
      </c>
      <c r="R801" s="35">
        <v>0.01</v>
      </c>
      <c r="S801" s="29">
        <v>0</v>
      </c>
      <c r="T801" s="29">
        <v>0</v>
      </c>
      <c r="U801" s="29">
        <v>53.922499999999999</v>
      </c>
    </row>
    <row r="802" spans="7:21">
      <c r="G802" s="32">
        <v>20231215</v>
      </c>
      <c r="H802" s="32" t="s">
        <v>4113</v>
      </c>
      <c r="I802" s="33" t="s">
        <v>4114</v>
      </c>
      <c r="J802" s="2" t="s">
        <v>4115</v>
      </c>
      <c r="K802" s="2" t="s">
        <v>1723</v>
      </c>
      <c r="L802" s="2" t="s">
        <v>1724</v>
      </c>
      <c r="M802" s="29">
        <v>12220</v>
      </c>
      <c r="N802" s="29">
        <v>12220</v>
      </c>
      <c r="O802" s="29">
        <v>12220</v>
      </c>
      <c r="P802" s="29">
        <v>12220</v>
      </c>
      <c r="Q802" s="29">
        <v>80</v>
      </c>
      <c r="R802" s="35">
        <v>0.66</v>
      </c>
      <c r="S802" s="29">
        <v>0</v>
      </c>
      <c r="T802" s="29">
        <v>0</v>
      </c>
      <c r="U802" s="29">
        <v>73.319999999999993</v>
      </c>
    </row>
    <row r="803" spans="7:21">
      <c r="G803" s="32">
        <v>20231215</v>
      </c>
      <c r="H803" s="32" t="s">
        <v>4116</v>
      </c>
      <c r="I803" s="33" t="s">
        <v>4117</v>
      </c>
      <c r="J803" s="2" t="s">
        <v>4118</v>
      </c>
      <c r="K803" s="2" t="s">
        <v>1723</v>
      </c>
      <c r="L803" s="2" t="s">
        <v>1724</v>
      </c>
      <c r="M803" s="29">
        <v>105165</v>
      </c>
      <c r="N803" s="29">
        <v>105165</v>
      </c>
      <c r="O803" s="29">
        <v>105165</v>
      </c>
      <c r="P803" s="29">
        <v>105165</v>
      </c>
      <c r="Q803" s="29">
        <v>40</v>
      </c>
      <c r="R803" s="35">
        <v>0.04</v>
      </c>
      <c r="S803" s="29">
        <v>0</v>
      </c>
      <c r="T803" s="29">
        <v>0</v>
      </c>
      <c r="U803" s="29">
        <v>128.3013</v>
      </c>
    </row>
    <row r="804" spans="7:21">
      <c r="G804" s="32">
        <v>20231215</v>
      </c>
      <c r="H804" s="32" t="s">
        <v>4119</v>
      </c>
      <c r="I804" s="33" t="s">
        <v>4120</v>
      </c>
      <c r="J804" s="2" t="s">
        <v>4121</v>
      </c>
      <c r="K804" s="2" t="s">
        <v>1723</v>
      </c>
      <c r="L804" s="2" t="s">
        <v>1724</v>
      </c>
      <c r="M804" s="29">
        <v>8260</v>
      </c>
      <c r="N804" s="29">
        <v>8260</v>
      </c>
      <c r="O804" s="29">
        <v>8260</v>
      </c>
      <c r="P804" s="29">
        <v>8260</v>
      </c>
      <c r="Q804" s="29">
        <v>70</v>
      </c>
      <c r="R804" s="35">
        <v>0.85</v>
      </c>
      <c r="S804" s="29">
        <v>0</v>
      </c>
      <c r="T804" s="29">
        <v>0</v>
      </c>
      <c r="U804" s="29">
        <v>45.43</v>
      </c>
    </row>
    <row r="805" spans="7:21">
      <c r="G805" s="32">
        <v>20231215</v>
      </c>
      <c r="H805" s="32" t="s">
        <v>4122</v>
      </c>
      <c r="I805" s="33" t="s">
        <v>4123</v>
      </c>
      <c r="J805" s="2" t="s">
        <v>4124</v>
      </c>
      <c r="K805" s="2" t="s">
        <v>1723</v>
      </c>
      <c r="L805" s="2" t="s">
        <v>1724</v>
      </c>
      <c r="M805" s="29">
        <v>105075</v>
      </c>
      <c r="N805" s="29">
        <v>105075</v>
      </c>
      <c r="O805" s="29">
        <v>105075</v>
      </c>
      <c r="P805" s="29">
        <v>105075</v>
      </c>
      <c r="Q805" s="29">
        <v>50</v>
      </c>
      <c r="R805" s="35">
        <v>0.05</v>
      </c>
      <c r="S805" s="29">
        <v>0</v>
      </c>
      <c r="T805" s="29">
        <v>0</v>
      </c>
      <c r="U805" s="29">
        <v>1103.2874999999999</v>
      </c>
    </row>
    <row r="806" spans="7:21">
      <c r="G806" s="32">
        <v>20231215</v>
      </c>
      <c r="H806" s="32" t="s">
        <v>4125</v>
      </c>
      <c r="I806" s="33" t="s">
        <v>4126</v>
      </c>
      <c r="J806" s="2" t="s">
        <v>4127</v>
      </c>
      <c r="K806" s="2" t="s">
        <v>1723</v>
      </c>
      <c r="L806" s="2" t="s">
        <v>1724</v>
      </c>
      <c r="M806" s="29">
        <v>105890</v>
      </c>
      <c r="N806" s="29">
        <v>105890</v>
      </c>
      <c r="O806" s="29">
        <v>105890</v>
      </c>
      <c r="P806" s="29">
        <v>105890</v>
      </c>
      <c r="Q806" s="29">
        <v>0</v>
      </c>
      <c r="R806" s="35">
        <v>0</v>
      </c>
      <c r="S806" s="29">
        <v>0</v>
      </c>
      <c r="T806" s="29">
        <v>0</v>
      </c>
      <c r="U806" s="29">
        <v>1117.1395</v>
      </c>
    </row>
    <row r="807" spans="7:21">
      <c r="G807" s="32">
        <v>20231215</v>
      </c>
      <c r="H807" s="32" t="s">
        <v>4128</v>
      </c>
      <c r="I807" s="33" t="s">
        <v>4129</v>
      </c>
      <c r="J807" s="2" t="s">
        <v>4130</v>
      </c>
      <c r="K807" s="2" t="s">
        <v>1723</v>
      </c>
      <c r="L807" s="2" t="s">
        <v>1724</v>
      </c>
      <c r="M807" s="29">
        <v>102070</v>
      </c>
      <c r="N807" s="29">
        <v>102070</v>
      </c>
      <c r="O807" s="29">
        <v>102070</v>
      </c>
      <c r="P807" s="29">
        <v>102070</v>
      </c>
      <c r="Q807" s="29">
        <v>10</v>
      </c>
      <c r="R807" s="35">
        <v>0.01</v>
      </c>
      <c r="S807" s="29">
        <v>0</v>
      </c>
      <c r="T807" s="29">
        <v>0</v>
      </c>
      <c r="U807" s="29">
        <v>2653.82</v>
      </c>
    </row>
    <row r="808" spans="7:21">
      <c r="G808" s="32">
        <v>20231215</v>
      </c>
      <c r="H808" s="32" t="s">
        <v>4131</v>
      </c>
      <c r="I808" s="33" t="s">
        <v>4132</v>
      </c>
      <c r="J808" s="2" t="s">
        <v>4133</v>
      </c>
      <c r="K808" s="2" t="s">
        <v>1723</v>
      </c>
      <c r="L808" s="2" t="s">
        <v>1724</v>
      </c>
      <c r="M808" s="29">
        <v>105395</v>
      </c>
      <c r="N808" s="29">
        <v>105395</v>
      </c>
      <c r="O808" s="29">
        <v>105395</v>
      </c>
      <c r="P808" s="29">
        <v>105395</v>
      </c>
      <c r="Q808" s="29">
        <v>35</v>
      </c>
      <c r="R808" s="35">
        <v>0.03</v>
      </c>
      <c r="S808" s="29">
        <v>0</v>
      </c>
      <c r="T808" s="29">
        <v>0</v>
      </c>
      <c r="U808" s="29">
        <v>530.13684999999998</v>
      </c>
    </row>
    <row r="809" spans="7:21">
      <c r="G809" s="32">
        <v>20231215</v>
      </c>
      <c r="H809" s="32" t="s">
        <v>4134</v>
      </c>
      <c r="I809" s="33" t="s">
        <v>4135</v>
      </c>
      <c r="J809" s="2" t="s">
        <v>4136</v>
      </c>
      <c r="K809" s="2" t="s">
        <v>1723</v>
      </c>
      <c r="L809" s="2" t="s">
        <v>1724</v>
      </c>
      <c r="M809" s="29">
        <v>102305</v>
      </c>
      <c r="N809" s="29">
        <v>102305</v>
      </c>
      <c r="O809" s="29">
        <v>102305</v>
      </c>
      <c r="P809" s="29">
        <v>102305</v>
      </c>
      <c r="Q809" s="29">
        <v>-165</v>
      </c>
      <c r="R809" s="35">
        <v>-0.16</v>
      </c>
      <c r="S809" s="29">
        <v>0</v>
      </c>
      <c r="T809" s="29">
        <v>0</v>
      </c>
      <c r="U809" s="29">
        <v>1085.45605</v>
      </c>
    </row>
    <row r="810" spans="7:21">
      <c r="M810" s="29"/>
      <c r="N810" s="29"/>
      <c r="O810" s="29"/>
      <c r="P810" s="29"/>
      <c r="Q810" s="29"/>
      <c r="R810" s="35"/>
      <c r="S810" s="29"/>
      <c r="T810" s="29"/>
      <c r="U810" s="29"/>
    </row>
    <row r="811" spans="7:21">
      <c r="M811" s="29"/>
      <c r="N811" s="29"/>
      <c r="O811" s="29"/>
      <c r="P811" s="29"/>
      <c r="Q811" s="29"/>
      <c r="R811" s="35"/>
      <c r="S811" s="29"/>
      <c r="T811" s="29"/>
      <c r="U811" s="29"/>
    </row>
    <row r="812" spans="7:21">
      <c r="M812" s="29"/>
      <c r="N812" s="29"/>
      <c r="O812" s="29"/>
      <c r="P812" s="29"/>
      <c r="Q812" s="29"/>
      <c r="R812" s="35"/>
      <c r="S812" s="29"/>
      <c r="T812" s="29"/>
      <c r="U812" s="29"/>
    </row>
    <row r="813" spans="7:21">
      <c r="M813" s="29"/>
      <c r="N813" s="29"/>
      <c r="O813" s="29"/>
      <c r="P813" s="29"/>
      <c r="Q813" s="29"/>
      <c r="R813" s="35"/>
      <c r="S813" s="29"/>
      <c r="T813" s="29"/>
      <c r="U813" s="29"/>
    </row>
    <row r="814" spans="7:21">
      <c r="M814" s="29"/>
      <c r="N814" s="29"/>
      <c r="O814" s="29"/>
      <c r="P814" s="29"/>
      <c r="Q814" s="29"/>
      <c r="R814" s="35"/>
      <c r="S814" s="29"/>
      <c r="T814" s="29"/>
      <c r="U814" s="29"/>
    </row>
    <row r="815" spans="7:21">
      <c r="M815" s="29"/>
      <c r="N815" s="29"/>
      <c r="O815" s="29"/>
      <c r="P815" s="29"/>
      <c r="Q815" s="29"/>
      <c r="R815" s="35"/>
      <c r="S815" s="29"/>
      <c r="T815" s="29"/>
      <c r="U815" s="29"/>
    </row>
    <row r="816" spans="7:21">
      <c r="M816" s="29"/>
      <c r="N816" s="29"/>
      <c r="O816" s="29"/>
      <c r="P816" s="29"/>
      <c r="Q816" s="29"/>
      <c r="R816" s="35"/>
      <c r="S816" s="29"/>
      <c r="T816" s="29"/>
      <c r="U816" s="29"/>
    </row>
    <row r="817" spans="13:21">
      <c r="M817" s="29"/>
      <c r="N817" s="29"/>
      <c r="O817" s="29"/>
      <c r="P817" s="29"/>
      <c r="Q817" s="29"/>
      <c r="R817" s="35"/>
      <c r="S817" s="29"/>
      <c r="T817" s="29"/>
      <c r="U817" s="29"/>
    </row>
    <row r="818" spans="13:21">
      <c r="M818" s="29"/>
      <c r="N818" s="29"/>
      <c r="O818" s="29"/>
      <c r="P818" s="29"/>
      <c r="Q818" s="29"/>
      <c r="R818" s="35"/>
      <c r="S818" s="29"/>
      <c r="T818" s="29"/>
      <c r="U818" s="29"/>
    </row>
    <row r="819" spans="13:21">
      <c r="M819" s="29"/>
      <c r="N819" s="29"/>
      <c r="O819" s="29"/>
      <c r="P819" s="29"/>
      <c r="Q819" s="29"/>
      <c r="R819" s="35"/>
      <c r="S819" s="29"/>
      <c r="T819" s="29"/>
      <c r="U819" s="29"/>
    </row>
    <row r="820" spans="13:21">
      <c r="M820" s="29"/>
      <c r="N820" s="29"/>
      <c r="O820" s="29"/>
      <c r="P820" s="29"/>
      <c r="Q820" s="29"/>
      <c r="R820" s="35"/>
      <c r="S820" s="29"/>
      <c r="T820" s="29"/>
      <c r="U820" s="29"/>
    </row>
    <row r="821" spans="13:21">
      <c r="M821" s="29"/>
      <c r="N821" s="29"/>
      <c r="O821" s="29"/>
      <c r="P821" s="29"/>
      <c r="Q821" s="29"/>
      <c r="R821" s="35"/>
      <c r="S821" s="29"/>
      <c r="T821" s="29"/>
      <c r="U821" s="29"/>
    </row>
    <row r="822" spans="13:21">
      <c r="M822" s="29"/>
      <c r="N822" s="29"/>
      <c r="O822" s="29"/>
      <c r="P822" s="29"/>
      <c r="Q822" s="29"/>
      <c r="R822" s="35"/>
      <c r="S822" s="29"/>
      <c r="T822" s="29"/>
      <c r="U822" s="29"/>
    </row>
    <row r="823" spans="13:21">
      <c r="M823" s="29"/>
      <c r="N823" s="29"/>
      <c r="O823" s="29"/>
      <c r="P823" s="29"/>
      <c r="Q823" s="29"/>
      <c r="R823" s="35"/>
      <c r="S823" s="29"/>
      <c r="T823" s="29"/>
      <c r="U823" s="29"/>
    </row>
    <row r="824" spans="13:21">
      <c r="M824" s="29"/>
      <c r="N824" s="29"/>
      <c r="O824" s="29"/>
      <c r="P824" s="29"/>
      <c r="Q824" s="29"/>
      <c r="R824" s="35"/>
      <c r="S824" s="29"/>
      <c r="T824" s="29"/>
      <c r="U824" s="29"/>
    </row>
    <row r="825" spans="13:21">
      <c r="M825" s="29"/>
      <c r="N825" s="29"/>
      <c r="O825" s="29"/>
      <c r="P825" s="29"/>
      <c r="Q825" s="29"/>
      <c r="R825" s="35"/>
      <c r="S825" s="29"/>
      <c r="T825" s="29"/>
      <c r="U825" s="29"/>
    </row>
    <row r="826" spans="13:21">
      <c r="M826" s="29"/>
      <c r="N826" s="29"/>
      <c r="O826" s="29"/>
      <c r="P826" s="29"/>
      <c r="Q826" s="29"/>
      <c r="R826" s="35"/>
      <c r="S826" s="29"/>
      <c r="T826" s="29"/>
      <c r="U826" s="29"/>
    </row>
    <row r="827" spans="13:21">
      <c r="M827" s="29"/>
      <c r="N827" s="29"/>
      <c r="O827" s="29"/>
      <c r="P827" s="29"/>
      <c r="Q827" s="29"/>
      <c r="R827" s="35"/>
      <c r="S827" s="29"/>
      <c r="T827" s="29"/>
      <c r="U827" s="29"/>
    </row>
    <row r="828" spans="13:21">
      <c r="M828" s="29"/>
      <c r="N828" s="29"/>
      <c r="O828" s="29"/>
      <c r="P828" s="29"/>
      <c r="Q828" s="29"/>
      <c r="R828" s="35"/>
      <c r="S828" s="29"/>
      <c r="T828" s="29"/>
      <c r="U828" s="29"/>
    </row>
    <row r="829" spans="13:21">
      <c r="M829" s="29"/>
      <c r="N829" s="29"/>
      <c r="O829" s="29"/>
      <c r="P829" s="29"/>
      <c r="Q829" s="29"/>
      <c r="R829" s="35"/>
      <c r="S829" s="29"/>
      <c r="T829" s="29"/>
      <c r="U829" s="29"/>
    </row>
    <row r="830" spans="13:21">
      <c r="M830" s="29"/>
      <c r="N830" s="29"/>
      <c r="O830" s="29"/>
      <c r="P830" s="29"/>
      <c r="Q830" s="29"/>
      <c r="R830" s="35"/>
      <c r="S830" s="29"/>
      <c r="T830" s="29"/>
      <c r="U830" s="29"/>
    </row>
    <row r="831" spans="13:21">
      <c r="M831" s="29"/>
      <c r="N831" s="29"/>
      <c r="O831" s="29"/>
      <c r="P831" s="29"/>
      <c r="Q831" s="29"/>
      <c r="R831" s="35"/>
      <c r="S831" s="29"/>
      <c r="T831" s="29"/>
      <c r="U831" s="29"/>
    </row>
    <row r="832" spans="13:21">
      <c r="M832" s="29"/>
      <c r="N832" s="29"/>
      <c r="O832" s="29"/>
      <c r="P832" s="29"/>
      <c r="Q832" s="29"/>
      <c r="R832" s="35"/>
      <c r="S832" s="29"/>
      <c r="T832" s="29"/>
      <c r="U832" s="29"/>
    </row>
    <row r="833" spans="13:21">
      <c r="M833" s="29"/>
      <c r="N833" s="29"/>
      <c r="O833" s="29"/>
      <c r="P833" s="29"/>
      <c r="Q833" s="29"/>
      <c r="R833" s="35"/>
      <c r="S833" s="29"/>
      <c r="T833" s="29"/>
      <c r="U833" s="29"/>
    </row>
    <row r="834" spans="13:21">
      <c r="M834" s="29"/>
      <c r="N834" s="29"/>
      <c r="O834" s="29"/>
      <c r="P834" s="29"/>
      <c r="Q834" s="29"/>
      <c r="R834" s="35"/>
      <c r="S834" s="29"/>
      <c r="T834" s="29"/>
      <c r="U834" s="29"/>
    </row>
    <row r="835" spans="13:21">
      <c r="M835" s="29"/>
      <c r="N835" s="29"/>
      <c r="O835" s="29"/>
      <c r="P835" s="29"/>
      <c r="Q835" s="29"/>
      <c r="R835" s="35"/>
      <c r="S835" s="29"/>
      <c r="T835" s="29"/>
      <c r="U835" s="29"/>
    </row>
    <row r="836" spans="13:21">
      <c r="M836" s="29"/>
      <c r="N836" s="29"/>
      <c r="O836" s="29"/>
      <c r="P836" s="29"/>
      <c r="Q836" s="29"/>
      <c r="R836" s="35"/>
      <c r="S836" s="29"/>
      <c r="T836" s="29"/>
      <c r="U836" s="29"/>
    </row>
    <row r="837" spans="13:21">
      <c r="M837" s="29"/>
      <c r="N837" s="29"/>
      <c r="O837" s="29"/>
      <c r="P837" s="29"/>
      <c r="Q837" s="29"/>
      <c r="R837" s="35"/>
      <c r="S837" s="29"/>
      <c r="T837" s="29"/>
      <c r="U837" s="29"/>
    </row>
    <row r="838" spans="13:21">
      <c r="M838" s="29"/>
      <c r="N838" s="29"/>
      <c r="O838" s="29"/>
      <c r="P838" s="29"/>
      <c r="Q838" s="29"/>
      <c r="R838" s="35"/>
      <c r="S838" s="29"/>
      <c r="T838" s="29"/>
      <c r="U838" s="29"/>
    </row>
    <row r="839" spans="13:21">
      <c r="M839" s="29"/>
      <c r="N839" s="29"/>
      <c r="O839" s="29"/>
      <c r="P839" s="29"/>
      <c r="Q839" s="29"/>
      <c r="R839" s="35"/>
      <c r="S839" s="29"/>
      <c r="T839" s="29"/>
      <c r="U839" s="29"/>
    </row>
    <row r="840" spans="13:21">
      <c r="M840" s="29"/>
      <c r="N840" s="29"/>
      <c r="O840" s="29"/>
      <c r="P840" s="29"/>
      <c r="Q840" s="29"/>
      <c r="R840" s="35"/>
      <c r="S840" s="29"/>
      <c r="T840" s="29"/>
      <c r="U840" s="29"/>
    </row>
    <row r="841" spans="13:21">
      <c r="M841" s="29"/>
      <c r="N841" s="29"/>
      <c r="O841" s="29"/>
      <c r="P841" s="29"/>
      <c r="Q841" s="29"/>
      <c r="R841" s="35"/>
      <c r="S841" s="29"/>
      <c r="T841" s="29"/>
      <c r="U841" s="29"/>
    </row>
    <row r="842" spans="13:21">
      <c r="M842" s="29"/>
      <c r="N842" s="29"/>
      <c r="O842" s="29"/>
      <c r="P842" s="29"/>
      <c r="Q842" s="29"/>
      <c r="R842" s="35"/>
      <c r="S842" s="29"/>
      <c r="T842" s="29"/>
      <c r="U842" s="29"/>
    </row>
    <row r="843" spans="13:21">
      <c r="M843" s="29"/>
      <c r="N843" s="29"/>
      <c r="O843" s="29"/>
      <c r="P843" s="29"/>
      <c r="Q843" s="29"/>
      <c r="R843" s="35"/>
      <c r="S843" s="29"/>
      <c r="T843" s="29"/>
      <c r="U843" s="29"/>
    </row>
    <row r="844" spans="13:21">
      <c r="M844" s="29"/>
      <c r="N844" s="29"/>
      <c r="O844" s="29"/>
      <c r="P844" s="29"/>
      <c r="Q844" s="29"/>
      <c r="R844" s="35"/>
      <c r="S844" s="29"/>
      <c r="T844" s="29"/>
      <c r="U844" s="29"/>
    </row>
    <row r="845" spans="13:21">
      <c r="M845" s="29"/>
      <c r="N845" s="29"/>
      <c r="O845" s="29"/>
      <c r="P845" s="29"/>
      <c r="Q845" s="29"/>
      <c r="R845" s="35"/>
      <c r="S845" s="29"/>
      <c r="T845" s="29"/>
      <c r="U845" s="29"/>
    </row>
    <row r="846" spans="13:21">
      <c r="M846" s="29"/>
      <c r="N846" s="29"/>
      <c r="O846" s="29"/>
      <c r="P846" s="29"/>
      <c r="Q846" s="29"/>
      <c r="R846" s="35"/>
      <c r="S846" s="29"/>
      <c r="T846" s="29"/>
      <c r="U846" s="29"/>
    </row>
    <row r="847" spans="13:21">
      <c r="M847" s="29"/>
      <c r="N847" s="29"/>
      <c r="O847" s="29"/>
      <c r="P847" s="29"/>
      <c r="Q847" s="29"/>
      <c r="R847" s="35"/>
      <c r="S847" s="29"/>
      <c r="T847" s="29"/>
      <c r="U847" s="29"/>
    </row>
    <row r="848" spans="13:21">
      <c r="M848" s="29"/>
      <c r="N848" s="29"/>
      <c r="O848" s="29"/>
      <c r="P848" s="29"/>
      <c r="Q848" s="29"/>
      <c r="R848" s="35"/>
      <c r="S848" s="29"/>
      <c r="T848" s="29"/>
      <c r="U848" s="29"/>
    </row>
    <row r="849" spans="13:21">
      <c r="M849" s="29"/>
      <c r="N849" s="29"/>
      <c r="O849" s="29"/>
      <c r="P849" s="29"/>
      <c r="Q849" s="29"/>
      <c r="R849" s="35"/>
      <c r="S849" s="29"/>
      <c r="T849" s="29"/>
      <c r="U849" s="29"/>
    </row>
    <row r="850" spans="13:21">
      <c r="M850" s="29"/>
      <c r="N850" s="29"/>
      <c r="O850" s="29"/>
      <c r="P850" s="29"/>
      <c r="Q850" s="29"/>
      <c r="R850" s="35"/>
      <c r="S850" s="29"/>
      <c r="T850" s="29"/>
      <c r="U850" s="29"/>
    </row>
    <row r="851" spans="13:21">
      <c r="M851" s="29"/>
      <c r="N851" s="29"/>
      <c r="O851" s="29"/>
      <c r="P851" s="29"/>
      <c r="Q851" s="29"/>
      <c r="R851" s="35"/>
      <c r="S851" s="29"/>
      <c r="T851" s="29"/>
      <c r="U851" s="29"/>
    </row>
    <row r="852" spans="13:21">
      <c r="M852" s="29"/>
      <c r="N852" s="29"/>
      <c r="O852" s="29"/>
      <c r="P852" s="29"/>
      <c r="Q852" s="29"/>
      <c r="R852" s="35"/>
      <c r="S852" s="29"/>
      <c r="T852" s="29"/>
      <c r="U852" s="29"/>
    </row>
    <row r="853" spans="13:21">
      <c r="M853" s="29"/>
      <c r="N853" s="29"/>
      <c r="O853" s="29"/>
      <c r="P853" s="29"/>
      <c r="Q853" s="29"/>
      <c r="R853" s="35"/>
      <c r="S853" s="29"/>
      <c r="T853" s="29"/>
      <c r="U853" s="29"/>
    </row>
    <row r="854" spans="13:21">
      <c r="M854" s="29"/>
      <c r="N854" s="29"/>
      <c r="O854" s="29"/>
      <c r="P854" s="29"/>
      <c r="Q854" s="29"/>
      <c r="R854" s="35"/>
      <c r="S854" s="29"/>
      <c r="T854" s="29"/>
      <c r="U854" s="29"/>
    </row>
    <row r="855" spans="13:21">
      <c r="M855" s="29"/>
      <c r="N855" s="29"/>
      <c r="O855" s="29"/>
      <c r="P855" s="29"/>
      <c r="Q855" s="29"/>
      <c r="R855" s="35"/>
      <c r="S855" s="29"/>
      <c r="T855" s="29"/>
      <c r="U855" s="29"/>
    </row>
    <row r="856" spans="13:21">
      <c r="M856" s="29"/>
      <c r="N856" s="29"/>
      <c r="O856" s="29"/>
      <c r="P856" s="29"/>
      <c r="Q856" s="29"/>
      <c r="R856" s="35"/>
      <c r="S856" s="29"/>
      <c r="T856" s="29"/>
      <c r="U856" s="29"/>
    </row>
    <row r="857" spans="13:21">
      <c r="M857" s="29"/>
      <c r="N857" s="29"/>
      <c r="O857" s="29"/>
      <c r="P857" s="29"/>
      <c r="Q857" s="29"/>
      <c r="R857" s="35"/>
      <c r="S857" s="29"/>
      <c r="T857" s="29"/>
      <c r="U857" s="29"/>
    </row>
    <row r="858" spans="13:21">
      <c r="M858" s="29"/>
      <c r="N858" s="29"/>
      <c r="O858" s="29"/>
      <c r="P858" s="29"/>
      <c r="Q858" s="29"/>
      <c r="R858" s="35"/>
      <c r="S858" s="29"/>
      <c r="T858" s="29"/>
      <c r="U858" s="29"/>
    </row>
    <row r="859" spans="13:21">
      <c r="M859" s="29"/>
      <c r="N859" s="29"/>
      <c r="O859" s="29"/>
      <c r="P859" s="29"/>
      <c r="Q859" s="29"/>
      <c r="R859" s="35"/>
      <c r="S859" s="29"/>
      <c r="T859" s="29"/>
      <c r="U859" s="29"/>
    </row>
    <row r="860" spans="13:21">
      <c r="M860" s="29"/>
      <c r="N860" s="29"/>
      <c r="O860" s="29"/>
      <c r="P860" s="29"/>
      <c r="Q860" s="29"/>
      <c r="R860" s="35"/>
      <c r="S860" s="29"/>
      <c r="T860" s="29"/>
      <c r="U860" s="29"/>
    </row>
    <row r="861" spans="13:21">
      <c r="M861" s="29"/>
      <c r="N861" s="29"/>
      <c r="O861" s="29"/>
      <c r="P861" s="29"/>
      <c r="Q861" s="29"/>
      <c r="R861" s="35"/>
      <c r="S861" s="29"/>
      <c r="T861" s="29"/>
      <c r="U861" s="29"/>
    </row>
    <row r="862" spans="13:21">
      <c r="M862" s="29"/>
      <c r="N862" s="29"/>
      <c r="O862" s="29"/>
      <c r="P862" s="29"/>
      <c r="Q862" s="29"/>
      <c r="R862" s="35"/>
      <c r="S862" s="29"/>
      <c r="T862" s="29"/>
      <c r="U862" s="29"/>
    </row>
    <row r="863" spans="13:21">
      <c r="M863" s="29"/>
      <c r="N863" s="29"/>
      <c r="O863" s="29"/>
      <c r="P863" s="29"/>
      <c r="Q863" s="29"/>
      <c r="R863" s="35"/>
      <c r="S863" s="29"/>
      <c r="T863" s="29"/>
      <c r="U863" s="29"/>
    </row>
    <row r="864" spans="13:21">
      <c r="M864" s="29"/>
      <c r="N864" s="29"/>
      <c r="O864" s="29"/>
      <c r="P864" s="29"/>
      <c r="Q864" s="29"/>
      <c r="R864" s="35"/>
      <c r="S864" s="29"/>
      <c r="T864" s="29"/>
      <c r="U864" s="29"/>
    </row>
    <row r="865" spans="13:21">
      <c r="M865" s="29"/>
      <c r="N865" s="29"/>
      <c r="O865" s="29"/>
      <c r="P865" s="29"/>
      <c r="Q865" s="29"/>
      <c r="R865" s="35"/>
      <c r="S865" s="29"/>
      <c r="T865" s="29"/>
      <c r="U865" s="29"/>
    </row>
    <row r="866" spans="13:21">
      <c r="M866" s="29"/>
      <c r="N866" s="29"/>
      <c r="O866" s="29"/>
      <c r="P866" s="29"/>
      <c r="Q866" s="29"/>
      <c r="R866" s="35"/>
      <c r="S866" s="29"/>
      <c r="T866" s="29"/>
      <c r="U866" s="29"/>
    </row>
    <row r="867" spans="13:21">
      <c r="M867" s="29"/>
      <c r="N867" s="29"/>
      <c r="O867" s="29"/>
      <c r="P867" s="29"/>
      <c r="Q867" s="29"/>
      <c r="R867" s="35"/>
      <c r="S867" s="29"/>
      <c r="T867" s="29"/>
      <c r="U867" s="29"/>
    </row>
    <row r="868" spans="13:21">
      <c r="M868" s="29"/>
      <c r="N868" s="29"/>
      <c r="O868" s="29"/>
      <c r="P868" s="29"/>
      <c r="Q868" s="29"/>
      <c r="R868" s="35"/>
      <c r="S868" s="29"/>
      <c r="T868" s="29"/>
      <c r="U868" s="29"/>
    </row>
    <row r="869" spans="13:21">
      <c r="M869" s="29"/>
      <c r="N869" s="29"/>
      <c r="O869" s="29"/>
      <c r="P869" s="29"/>
      <c r="Q869" s="29"/>
      <c r="R869" s="35"/>
      <c r="S869" s="29"/>
      <c r="T869" s="29"/>
      <c r="U869" s="29"/>
    </row>
    <row r="870" spans="13:21">
      <c r="M870" s="29"/>
      <c r="N870" s="29"/>
      <c r="O870" s="29"/>
      <c r="P870" s="29"/>
      <c r="Q870" s="29"/>
      <c r="R870" s="35"/>
      <c r="S870" s="29"/>
      <c r="T870" s="29"/>
      <c r="U870" s="29"/>
    </row>
    <row r="871" spans="13:21">
      <c r="M871" s="29"/>
      <c r="N871" s="29"/>
      <c r="O871" s="29"/>
      <c r="P871" s="29"/>
      <c r="Q871" s="29"/>
      <c r="R871" s="35"/>
      <c r="S871" s="29"/>
      <c r="T871" s="29"/>
      <c r="U871" s="29"/>
    </row>
    <row r="872" spans="13:21">
      <c r="M872" s="29"/>
      <c r="N872" s="29"/>
      <c r="O872" s="29"/>
      <c r="P872" s="29"/>
      <c r="Q872" s="29"/>
      <c r="R872" s="35"/>
      <c r="S872" s="29"/>
      <c r="T872" s="29"/>
      <c r="U872" s="29"/>
    </row>
    <row r="873" spans="13:21">
      <c r="M873" s="29"/>
      <c r="N873" s="29"/>
      <c r="O873" s="29"/>
      <c r="P873" s="29"/>
      <c r="Q873" s="29"/>
      <c r="R873" s="35"/>
      <c r="S873" s="29"/>
      <c r="T873" s="29"/>
      <c r="U873" s="29"/>
    </row>
    <row r="874" spans="13:21">
      <c r="M874" s="29"/>
      <c r="N874" s="29"/>
      <c r="O874" s="29"/>
      <c r="P874" s="29"/>
      <c r="Q874" s="29"/>
      <c r="R874" s="35"/>
      <c r="S874" s="29"/>
      <c r="T874" s="29"/>
      <c r="U874" s="29"/>
    </row>
    <row r="875" spans="13:21">
      <c r="M875" s="29"/>
      <c r="N875" s="29"/>
      <c r="O875" s="29"/>
      <c r="P875" s="29"/>
      <c r="Q875" s="29"/>
      <c r="R875" s="35"/>
      <c r="S875" s="29"/>
      <c r="T875" s="29"/>
      <c r="U875" s="29"/>
    </row>
    <row r="876" spans="13:21">
      <c r="M876" s="29"/>
      <c r="N876" s="29"/>
      <c r="O876" s="29"/>
      <c r="P876" s="29"/>
      <c r="Q876" s="29"/>
      <c r="R876" s="35"/>
      <c r="S876" s="29"/>
      <c r="T876" s="29"/>
      <c r="U876" s="29"/>
    </row>
    <row r="877" spans="13:21">
      <c r="M877" s="29"/>
      <c r="N877" s="29"/>
      <c r="O877" s="29"/>
      <c r="P877" s="29"/>
      <c r="Q877" s="29"/>
      <c r="R877" s="35"/>
      <c r="S877" s="29"/>
      <c r="T877" s="29"/>
      <c r="U877" s="29"/>
    </row>
    <row r="878" spans="13:21">
      <c r="M878" s="29"/>
      <c r="N878" s="29"/>
      <c r="O878" s="29"/>
      <c r="P878" s="29"/>
      <c r="Q878" s="29"/>
      <c r="R878" s="35"/>
      <c r="S878" s="29"/>
      <c r="T878" s="29"/>
      <c r="U878" s="29"/>
    </row>
    <row r="879" spans="13:21">
      <c r="M879" s="29"/>
      <c r="N879" s="29"/>
      <c r="O879" s="29"/>
      <c r="P879" s="29"/>
      <c r="Q879" s="29"/>
      <c r="R879" s="35"/>
      <c r="S879" s="29"/>
      <c r="T879" s="29"/>
      <c r="U879" s="29"/>
    </row>
    <row r="880" spans="13:21">
      <c r="M880" s="29"/>
      <c r="N880" s="29"/>
      <c r="O880" s="29"/>
      <c r="P880" s="29"/>
      <c r="Q880" s="29"/>
      <c r="R880" s="35"/>
      <c r="S880" s="29"/>
      <c r="T880" s="29"/>
      <c r="U880" s="29"/>
    </row>
    <row r="881" spans="13:21">
      <c r="M881" s="29"/>
      <c r="N881" s="29"/>
      <c r="O881" s="29"/>
      <c r="P881" s="29"/>
      <c r="Q881" s="29"/>
      <c r="R881" s="35"/>
      <c r="S881" s="29"/>
      <c r="T881" s="29"/>
      <c r="U881" s="29"/>
    </row>
    <row r="882" spans="13:21">
      <c r="M882" s="29"/>
      <c r="N882" s="29"/>
      <c r="O882" s="29"/>
      <c r="P882" s="29"/>
      <c r="Q882" s="29"/>
      <c r="R882" s="35"/>
      <c r="S882" s="29"/>
      <c r="T882" s="29"/>
      <c r="U882" s="29"/>
    </row>
    <row r="883" spans="13:21">
      <c r="M883" s="29"/>
      <c r="N883" s="29"/>
      <c r="O883" s="29"/>
      <c r="P883" s="29"/>
      <c r="Q883" s="29"/>
      <c r="R883" s="35"/>
      <c r="S883" s="29"/>
      <c r="T883" s="29"/>
      <c r="U883" s="29"/>
    </row>
    <row r="884" spans="13:21">
      <c r="M884" s="29"/>
      <c r="N884" s="29"/>
      <c r="O884" s="29"/>
      <c r="P884" s="29"/>
      <c r="Q884" s="29"/>
      <c r="R884" s="35"/>
      <c r="S884" s="29"/>
      <c r="T884" s="29"/>
      <c r="U884" s="29"/>
    </row>
    <row r="885" spans="13:21">
      <c r="M885" s="29"/>
      <c r="N885" s="29"/>
      <c r="O885" s="29"/>
      <c r="P885" s="29"/>
      <c r="Q885" s="29"/>
      <c r="R885" s="35"/>
      <c r="S885" s="29"/>
      <c r="T885" s="29"/>
      <c r="U885" s="29"/>
    </row>
    <row r="886" spans="13:21">
      <c r="M886" s="29"/>
      <c r="N886" s="29"/>
      <c r="O886" s="29"/>
      <c r="P886" s="29"/>
      <c r="Q886" s="29"/>
      <c r="R886" s="35"/>
      <c r="S886" s="29"/>
      <c r="T886" s="29"/>
      <c r="U886" s="29"/>
    </row>
    <row r="887" spans="13:21">
      <c r="M887" s="29"/>
      <c r="N887" s="29"/>
      <c r="O887" s="29"/>
      <c r="P887" s="29"/>
      <c r="Q887" s="29"/>
      <c r="R887" s="35"/>
      <c r="S887" s="29"/>
      <c r="T887" s="29"/>
      <c r="U887" s="29"/>
    </row>
    <row r="888" spans="13:21">
      <c r="M888" s="29"/>
      <c r="N888" s="29"/>
      <c r="O888" s="29"/>
      <c r="P888" s="29"/>
      <c r="Q888" s="29"/>
      <c r="R888" s="35"/>
      <c r="S888" s="29"/>
      <c r="T888" s="29"/>
      <c r="U888" s="29"/>
    </row>
    <row r="889" spans="13:21">
      <c r="M889" s="29"/>
      <c r="N889" s="29"/>
      <c r="O889" s="29"/>
      <c r="P889" s="29"/>
      <c r="Q889" s="29"/>
      <c r="R889" s="35"/>
      <c r="S889" s="29"/>
      <c r="T889" s="29"/>
      <c r="U889" s="29"/>
    </row>
    <row r="890" spans="13:21">
      <c r="M890" s="29"/>
      <c r="N890" s="29"/>
      <c r="O890" s="29"/>
      <c r="P890" s="29"/>
      <c r="Q890" s="29"/>
      <c r="R890" s="35"/>
      <c r="S890" s="29"/>
      <c r="T890" s="29"/>
      <c r="U890" s="29"/>
    </row>
    <row r="891" spans="13:21">
      <c r="M891" s="29"/>
      <c r="N891" s="29"/>
      <c r="O891" s="29"/>
      <c r="P891" s="29"/>
      <c r="Q891" s="29"/>
      <c r="R891" s="35"/>
      <c r="S891" s="29"/>
      <c r="T891" s="29"/>
      <c r="U891" s="29"/>
    </row>
    <row r="892" spans="13:21">
      <c r="M892" s="29"/>
      <c r="N892" s="29"/>
      <c r="O892" s="29"/>
      <c r="P892" s="29"/>
      <c r="Q892" s="29"/>
      <c r="R892" s="35"/>
      <c r="S892" s="29"/>
      <c r="T892" s="29"/>
      <c r="U892" s="29"/>
    </row>
    <row r="893" spans="13:21">
      <c r="M893" s="29"/>
      <c r="N893" s="29"/>
      <c r="O893" s="29"/>
      <c r="P893" s="29"/>
      <c r="Q893" s="29"/>
      <c r="R893" s="35"/>
      <c r="S893" s="29"/>
      <c r="T893" s="29"/>
      <c r="U893" s="29"/>
    </row>
    <row r="894" spans="13:21">
      <c r="M894" s="29"/>
      <c r="N894" s="29"/>
      <c r="O894" s="29"/>
      <c r="P894" s="29"/>
      <c r="Q894" s="29"/>
      <c r="R894" s="35"/>
      <c r="S894" s="29"/>
      <c r="T894" s="29"/>
      <c r="U894" s="29"/>
    </row>
    <row r="895" spans="13:21">
      <c r="M895" s="29"/>
      <c r="N895" s="29"/>
      <c r="O895" s="29"/>
      <c r="P895" s="29"/>
      <c r="Q895" s="29"/>
      <c r="R895" s="35"/>
      <c r="S895" s="29"/>
      <c r="T895" s="29"/>
      <c r="U895" s="29"/>
    </row>
    <row r="896" spans="13:21">
      <c r="M896" s="29"/>
      <c r="N896" s="29"/>
      <c r="O896" s="29"/>
      <c r="P896" s="29"/>
      <c r="Q896" s="29"/>
      <c r="R896" s="35"/>
      <c r="S896" s="29"/>
      <c r="T896" s="29"/>
      <c r="U896" s="29"/>
    </row>
    <row r="897" spans="13:21">
      <c r="M897" s="29"/>
      <c r="N897" s="29"/>
      <c r="O897" s="29"/>
      <c r="P897" s="29"/>
      <c r="Q897" s="29"/>
      <c r="R897" s="35"/>
      <c r="S897" s="29"/>
      <c r="T897" s="29"/>
      <c r="U897" s="29"/>
    </row>
    <row r="898" spans="13:21">
      <c r="M898" s="29"/>
      <c r="N898" s="29"/>
      <c r="O898" s="29"/>
      <c r="P898" s="29"/>
      <c r="Q898" s="29"/>
      <c r="R898" s="35"/>
      <c r="S898" s="29"/>
      <c r="T898" s="29"/>
      <c r="U898" s="29"/>
    </row>
    <row r="899" spans="13:21">
      <c r="M899" s="29"/>
      <c r="N899" s="29"/>
      <c r="O899" s="29"/>
      <c r="P899" s="29"/>
      <c r="Q899" s="29"/>
      <c r="R899" s="35"/>
      <c r="S899" s="29"/>
      <c r="T899" s="29"/>
      <c r="U899" s="29"/>
    </row>
    <row r="900" spans="13:21">
      <c r="M900" s="29"/>
      <c r="N900" s="29"/>
      <c r="O900" s="29"/>
      <c r="P900" s="29"/>
      <c r="Q900" s="29"/>
      <c r="R900" s="35"/>
      <c r="S900" s="29"/>
      <c r="T900" s="29"/>
      <c r="U900" s="29"/>
    </row>
    <row r="901" spans="13:21">
      <c r="M901" s="29"/>
      <c r="N901" s="29"/>
      <c r="O901" s="29"/>
      <c r="P901" s="29"/>
      <c r="Q901" s="29"/>
      <c r="R901" s="35"/>
      <c r="S901" s="29"/>
      <c r="T901" s="29"/>
      <c r="U901" s="29"/>
    </row>
    <row r="902" spans="13:21">
      <c r="M902" s="29"/>
      <c r="N902" s="29"/>
      <c r="O902" s="29"/>
      <c r="P902" s="29"/>
      <c r="Q902" s="29"/>
      <c r="R902" s="35"/>
      <c r="S902" s="29"/>
      <c r="T902" s="29"/>
      <c r="U902" s="29"/>
    </row>
    <row r="903" spans="13:21">
      <c r="M903" s="29"/>
      <c r="N903" s="29"/>
      <c r="O903" s="29"/>
      <c r="P903" s="29"/>
      <c r="Q903" s="29"/>
      <c r="R903" s="35"/>
      <c r="S903" s="29"/>
      <c r="T903" s="29"/>
      <c r="U903" s="29"/>
    </row>
    <row r="904" spans="13:21">
      <c r="M904" s="29"/>
      <c r="N904" s="29"/>
      <c r="O904" s="29"/>
      <c r="P904" s="29"/>
      <c r="Q904" s="29"/>
      <c r="R904" s="35"/>
      <c r="S904" s="29"/>
      <c r="T904" s="29"/>
      <c r="U904" s="29"/>
    </row>
    <row r="905" spans="13:21">
      <c r="M905" s="29"/>
      <c r="N905" s="29"/>
      <c r="O905" s="29"/>
      <c r="P905" s="29"/>
      <c r="Q905" s="29"/>
      <c r="R905" s="35"/>
      <c r="S905" s="29"/>
      <c r="T905" s="29"/>
      <c r="U905" s="29"/>
    </row>
    <row r="906" spans="13:21">
      <c r="M906" s="29"/>
      <c r="N906" s="29"/>
      <c r="O906" s="29"/>
      <c r="P906" s="29"/>
      <c r="Q906" s="29"/>
      <c r="R906" s="35"/>
      <c r="S906" s="29"/>
      <c r="T906" s="29"/>
      <c r="U906" s="29"/>
    </row>
    <row r="907" spans="13:21">
      <c r="M907" s="29"/>
      <c r="N907" s="29"/>
      <c r="O907" s="29"/>
      <c r="P907" s="29"/>
      <c r="Q907" s="29"/>
      <c r="R907" s="35"/>
      <c r="S907" s="29"/>
      <c r="T907" s="29"/>
      <c r="U907" s="29"/>
    </row>
    <row r="908" spans="13:21">
      <c r="M908" s="29"/>
      <c r="N908" s="29"/>
      <c r="O908" s="29"/>
      <c r="P908" s="29"/>
      <c r="Q908" s="29"/>
      <c r="R908" s="35"/>
      <c r="S908" s="29"/>
      <c r="T908" s="29"/>
      <c r="U908" s="29"/>
    </row>
    <row r="909" spans="13:21">
      <c r="M909" s="29"/>
      <c r="N909" s="29"/>
      <c r="O909" s="29"/>
      <c r="P909" s="29"/>
      <c r="Q909" s="29"/>
      <c r="R909" s="35"/>
      <c r="S909" s="29"/>
      <c r="T909" s="29"/>
      <c r="U909" s="29"/>
    </row>
    <row r="910" spans="13:21">
      <c r="M910" s="29"/>
      <c r="N910" s="29"/>
      <c r="O910" s="29"/>
      <c r="P910" s="29"/>
      <c r="Q910" s="29"/>
      <c r="R910" s="35"/>
      <c r="S910" s="29"/>
      <c r="T910" s="29"/>
      <c r="U910" s="29"/>
    </row>
    <row r="911" spans="13:21">
      <c r="M911" s="29"/>
      <c r="N911" s="29"/>
      <c r="O911" s="29"/>
      <c r="P911" s="29"/>
      <c r="Q911" s="29"/>
      <c r="R911" s="35"/>
      <c r="S911" s="29"/>
      <c r="T911" s="29"/>
      <c r="U911" s="29"/>
    </row>
    <row r="912" spans="13:21">
      <c r="M912" s="29"/>
      <c r="N912" s="29"/>
      <c r="O912" s="29"/>
      <c r="P912" s="29"/>
      <c r="Q912" s="29"/>
      <c r="R912" s="35"/>
      <c r="S912" s="29"/>
      <c r="T912" s="29"/>
      <c r="U912" s="29"/>
    </row>
    <row r="913" spans="13:21">
      <c r="M913" s="29"/>
      <c r="N913" s="29"/>
      <c r="O913" s="29"/>
      <c r="P913" s="29"/>
      <c r="Q913" s="29"/>
      <c r="R913" s="35"/>
      <c r="S913" s="29"/>
      <c r="T913" s="29"/>
      <c r="U913" s="29"/>
    </row>
    <row r="914" spans="13:21">
      <c r="M914" s="29"/>
      <c r="N914" s="29"/>
      <c r="O914" s="29"/>
      <c r="P914" s="29"/>
      <c r="Q914" s="29"/>
      <c r="R914" s="35"/>
      <c r="S914" s="29"/>
      <c r="T914" s="29"/>
      <c r="U914" s="29"/>
    </row>
    <row r="915" spans="13:21">
      <c r="M915" s="29"/>
      <c r="N915" s="29"/>
      <c r="O915" s="29"/>
      <c r="P915" s="29"/>
      <c r="Q915" s="29"/>
      <c r="R915" s="35"/>
      <c r="S915" s="29"/>
      <c r="T915" s="29"/>
      <c r="U915" s="29"/>
    </row>
    <row r="916" spans="13:21">
      <c r="M916" s="29"/>
      <c r="N916" s="29"/>
      <c r="O916" s="29"/>
      <c r="P916" s="29"/>
      <c r="Q916" s="29"/>
      <c r="R916" s="35"/>
      <c r="S916" s="29"/>
      <c r="T916" s="29"/>
      <c r="U916" s="29"/>
    </row>
    <row r="917" spans="13:21">
      <c r="M917" s="29"/>
      <c r="N917" s="29"/>
      <c r="O917" s="29"/>
      <c r="P917" s="29"/>
      <c r="Q917" s="29"/>
      <c r="R917" s="35"/>
      <c r="S917" s="29"/>
      <c r="T917" s="29"/>
      <c r="U917" s="29"/>
    </row>
    <row r="918" spans="13:21">
      <c r="M918" s="29"/>
      <c r="N918" s="29"/>
      <c r="O918" s="29"/>
      <c r="P918" s="29"/>
      <c r="Q918" s="29"/>
      <c r="R918" s="35"/>
      <c r="S918" s="29"/>
      <c r="T918" s="29"/>
      <c r="U918" s="29"/>
    </row>
    <row r="919" spans="13:21">
      <c r="M919" s="29"/>
      <c r="N919" s="29"/>
      <c r="O919" s="29"/>
      <c r="P919" s="29"/>
      <c r="Q919" s="29"/>
      <c r="R919" s="35"/>
      <c r="S919" s="29"/>
      <c r="T919" s="29"/>
      <c r="U919" s="29"/>
    </row>
    <row r="920" spans="13:21">
      <c r="M920" s="29"/>
      <c r="N920" s="29"/>
      <c r="O920" s="29"/>
      <c r="P920" s="29"/>
      <c r="Q920" s="29"/>
      <c r="R920" s="35"/>
      <c r="S920" s="29"/>
      <c r="T920" s="29"/>
      <c r="U920" s="29"/>
    </row>
    <row r="921" spans="13:21">
      <c r="M921" s="29"/>
      <c r="N921" s="29"/>
      <c r="O921" s="29"/>
      <c r="P921" s="29"/>
      <c r="Q921" s="29"/>
      <c r="R921" s="35"/>
      <c r="S921" s="29"/>
      <c r="T921" s="29"/>
      <c r="U921" s="29"/>
    </row>
    <row r="922" spans="13:21">
      <c r="M922" s="29"/>
      <c r="N922" s="29"/>
      <c r="O922" s="29"/>
      <c r="P922" s="29"/>
      <c r="Q922" s="29"/>
      <c r="R922" s="35"/>
      <c r="S922" s="29"/>
      <c r="T922" s="29"/>
      <c r="U922" s="29"/>
    </row>
    <row r="923" spans="13:21">
      <c r="M923" s="29"/>
      <c r="N923" s="29"/>
      <c r="O923" s="29"/>
      <c r="P923" s="29"/>
      <c r="Q923" s="29"/>
      <c r="R923" s="35"/>
      <c r="S923" s="29"/>
      <c r="T923" s="29"/>
      <c r="U923" s="29"/>
    </row>
    <row r="924" spans="13:21">
      <c r="M924" s="29"/>
      <c r="N924" s="29"/>
      <c r="O924" s="29"/>
      <c r="P924" s="29"/>
      <c r="Q924" s="29"/>
      <c r="R924" s="35"/>
      <c r="S924" s="29"/>
      <c r="T924" s="29"/>
      <c r="U924" s="29"/>
    </row>
    <row r="925" spans="13:21">
      <c r="M925" s="29"/>
      <c r="N925" s="29"/>
      <c r="O925" s="29"/>
      <c r="P925" s="29"/>
      <c r="Q925" s="29"/>
      <c r="R925" s="35"/>
      <c r="S925" s="29"/>
      <c r="T925" s="29"/>
      <c r="U925" s="29"/>
    </row>
    <row r="926" spans="13:21">
      <c r="M926" s="29"/>
      <c r="N926" s="29"/>
      <c r="O926" s="29"/>
      <c r="P926" s="29"/>
      <c r="Q926" s="29"/>
      <c r="R926" s="35"/>
      <c r="S926" s="29"/>
      <c r="T926" s="29"/>
      <c r="U926" s="29"/>
    </row>
    <row r="927" spans="13:21">
      <c r="M927" s="29"/>
      <c r="N927" s="29"/>
      <c r="O927" s="29"/>
      <c r="P927" s="29"/>
      <c r="Q927" s="29"/>
      <c r="R927" s="35"/>
      <c r="S927" s="29"/>
      <c r="T927" s="29"/>
      <c r="U927" s="29"/>
    </row>
    <row r="928" spans="13:21">
      <c r="M928" s="29"/>
      <c r="N928" s="29"/>
      <c r="O928" s="29"/>
      <c r="P928" s="29"/>
      <c r="Q928" s="29"/>
      <c r="R928" s="35"/>
      <c r="S928" s="29"/>
      <c r="T928" s="29"/>
      <c r="U928" s="29"/>
    </row>
    <row r="929" spans="13:21">
      <c r="M929" s="29"/>
      <c r="N929" s="29"/>
      <c r="O929" s="29"/>
      <c r="P929" s="29"/>
      <c r="Q929" s="29"/>
      <c r="R929" s="35"/>
      <c r="S929" s="29"/>
      <c r="T929" s="29"/>
      <c r="U929" s="29"/>
    </row>
    <row r="930" spans="13:21">
      <c r="M930" s="29"/>
      <c r="N930" s="29"/>
      <c r="O930" s="29"/>
      <c r="P930" s="29"/>
      <c r="Q930" s="29"/>
      <c r="R930" s="35"/>
      <c r="S930" s="29"/>
      <c r="T930" s="29"/>
      <c r="U930" s="29"/>
    </row>
    <row r="931" spans="13:21">
      <c r="M931" s="29"/>
      <c r="N931" s="29"/>
      <c r="O931" s="29"/>
      <c r="P931" s="29"/>
      <c r="Q931" s="29"/>
      <c r="R931" s="35"/>
      <c r="S931" s="29"/>
      <c r="T931" s="29"/>
      <c r="U931" s="29"/>
    </row>
    <row r="932" spans="13:21">
      <c r="M932" s="29"/>
      <c r="N932" s="29"/>
      <c r="O932" s="29"/>
      <c r="P932" s="29"/>
      <c r="Q932" s="29"/>
      <c r="R932" s="35"/>
      <c r="S932" s="29"/>
      <c r="T932" s="29"/>
      <c r="U932" s="29"/>
    </row>
    <row r="933" spans="13:21">
      <c r="M933" s="29"/>
      <c r="N933" s="29"/>
      <c r="O933" s="29"/>
      <c r="P933" s="29"/>
      <c r="Q933" s="29"/>
      <c r="R933" s="35"/>
      <c r="S933" s="29"/>
      <c r="T933" s="29"/>
      <c r="U933" s="29"/>
    </row>
    <row r="934" spans="13:21">
      <c r="M934" s="29"/>
      <c r="N934" s="29"/>
      <c r="O934" s="29"/>
      <c r="P934" s="29"/>
      <c r="Q934" s="29"/>
      <c r="R934" s="35"/>
      <c r="S934" s="29"/>
      <c r="T934" s="29"/>
      <c r="U934" s="29"/>
    </row>
    <row r="935" spans="13:21">
      <c r="M935" s="29"/>
      <c r="N935" s="29"/>
      <c r="O935" s="29"/>
      <c r="P935" s="29"/>
      <c r="Q935" s="29"/>
      <c r="R935" s="35"/>
      <c r="S935" s="29"/>
      <c r="T935" s="29"/>
      <c r="U935" s="29"/>
    </row>
    <row r="936" spans="13:21">
      <c r="M936" s="29"/>
      <c r="N936" s="29"/>
      <c r="O936" s="29"/>
      <c r="P936" s="29"/>
      <c r="Q936" s="29"/>
      <c r="R936" s="35"/>
      <c r="S936" s="29"/>
      <c r="T936" s="29"/>
      <c r="U936" s="29"/>
    </row>
    <row r="937" spans="13:21">
      <c r="M937" s="29"/>
      <c r="N937" s="29"/>
      <c r="O937" s="29"/>
      <c r="P937" s="29"/>
      <c r="Q937" s="29"/>
      <c r="R937" s="35"/>
      <c r="S937" s="29"/>
      <c r="T937" s="29"/>
      <c r="U937" s="29"/>
    </row>
    <row r="938" spans="13:21">
      <c r="M938" s="29"/>
      <c r="N938" s="29"/>
      <c r="O938" s="29"/>
      <c r="P938" s="29"/>
      <c r="Q938" s="29"/>
      <c r="R938" s="35"/>
      <c r="S938" s="29"/>
      <c r="T938" s="29"/>
      <c r="U938" s="29"/>
    </row>
    <row r="939" spans="13:21">
      <c r="M939" s="29"/>
      <c r="N939" s="29"/>
      <c r="O939" s="29"/>
      <c r="P939" s="29"/>
      <c r="Q939" s="29"/>
      <c r="R939" s="35"/>
      <c r="S939" s="29"/>
      <c r="T939" s="29"/>
      <c r="U939" s="29"/>
    </row>
    <row r="940" spans="13:21">
      <c r="M940" s="29"/>
      <c r="N940" s="29"/>
      <c r="O940" s="29"/>
      <c r="P940" s="29"/>
      <c r="Q940" s="29"/>
      <c r="R940" s="35"/>
      <c r="S940" s="29"/>
      <c r="T940" s="29"/>
      <c r="U940" s="29"/>
    </row>
    <row r="941" spans="13:21">
      <c r="M941" s="29"/>
      <c r="N941" s="29"/>
      <c r="O941" s="29"/>
      <c r="P941" s="29"/>
      <c r="Q941" s="29"/>
      <c r="R941" s="35"/>
      <c r="S941" s="29"/>
      <c r="T941" s="29"/>
      <c r="U941" s="29"/>
    </row>
    <row r="942" spans="13:21">
      <c r="M942" s="29"/>
      <c r="N942" s="29"/>
      <c r="O942" s="29"/>
      <c r="P942" s="29"/>
      <c r="Q942" s="29"/>
      <c r="R942" s="35"/>
      <c r="S942" s="29"/>
      <c r="T942" s="29"/>
      <c r="U942" s="29"/>
    </row>
    <row r="943" spans="13:21">
      <c r="M943" s="29"/>
      <c r="N943" s="29"/>
      <c r="O943" s="29"/>
      <c r="P943" s="29"/>
      <c r="Q943" s="29"/>
      <c r="R943" s="35"/>
      <c r="S943" s="29"/>
      <c r="T943" s="29"/>
      <c r="U943" s="29"/>
    </row>
    <row r="944" spans="13:21">
      <c r="M944" s="29"/>
      <c r="N944" s="29"/>
      <c r="O944" s="29"/>
      <c r="P944" s="29"/>
      <c r="Q944" s="29"/>
      <c r="R944" s="35"/>
      <c r="S944" s="29"/>
      <c r="T944" s="29"/>
      <c r="U944" s="29"/>
    </row>
    <row r="945" spans="13:21">
      <c r="M945" s="29"/>
      <c r="N945" s="29"/>
      <c r="O945" s="29"/>
      <c r="P945" s="29"/>
      <c r="Q945" s="29"/>
      <c r="R945" s="35"/>
      <c r="S945" s="29"/>
      <c r="T945" s="29"/>
      <c r="U945" s="29"/>
    </row>
    <row r="946" spans="13:21">
      <c r="M946" s="29"/>
      <c r="N946" s="29"/>
      <c r="O946" s="29"/>
      <c r="P946" s="29"/>
      <c r="Q946" s="29"/>
      <c r="R946" s="35"/>
      <c r="S946" s="29"/>
      <c r="T946" s="29"/>
      <c r="U946" s="29"/>
    </row>
    <row r="947" spans="13:21">
      <c r="M947" s="29"/>
      <c r="N947" s="29"/>
      <c r="O947" s="29"/>
      <c r="P947" s="29"/>
      <c r="Q947" s="29"/>
      <c r="R947" s="35"/>
      <c r="S947" s="29"/>
      <c r="T947" s="29"/>
      <c r="U947" s="29"/>
    </row>
    <row r="948" spans="13:21">
      <c r="M948" s="29"/>
      <c r="N948" s="29"/>
      <c r="O948" s="29"/>
      <c r="P948" s="29"/>
      <c r="Q948" s="29"/>
      <c r="R948" s="35"/>
      <c r="S948" s="29"/>
      <c r="T948" s="29"/>
      <c r="U948" s="29"/>
    </row>
    <row r="949" spans="13:21">
      <c r="M949" s="29"/>
      <c r="N949" s="29"/>
      <c r="O949" s="29"/>
      <c r="P949" s="29"/>
      <c r="Q949" s="29"/>
      <c r="R949" s="35"/>
      <c r="S949" s="29"/>
      <c r="T949" s="29"/>
      <c r="U949" s="29"/>
    </row>
    <row r="950" spans="13:21">
      <c r="M950" s="29"/>
      <c r="N950" s="29"/>
      <c r="O950" s="29"/>
      <c r="P950" s="29"/>
      <c r="Q950" s="29"/>
      <c r="R950" s="35"/>
      <c r="S950" s="29"/>
      <c r="T950" s="29"/>
      <c r="U950" s="29"/>
    </row>
    <row r="951" spans="13:21">
      <c r="M951" s="29"/>
      <c r="N951" s="29"/>
      <c r="O951" s="29"/>
      <c r="P951" s="29"/>
      <c r="Q951" s="29"/>
      <c r="R951" s="35"/>
      <c r="S951" s="29"/>
      <c r="T951" s="29"/>
      <c r="U951" s="29"/>
    </row>
    <row r="952" spans="13:21">
      <c r="M952" s="29"/>
      <c r="N952" s="29"/>
      <c r="O952" s="29"/>
      <c r="P952" s="29"/>
      <c r="Q952" s="29"/>
      <c r="R952" s="35"/>
      <c r="S952" s="29"/>
      <c r="T952" s="29"/>
      <c r="U952" s="29"/>
    </row>
    <row r="953" spans="13:21">
      <c r="M953" s="29"/>
      <c r="N953" s="29"/>
      <c r="O953" s="29"/>
      <c r="P953" s="29"/>
      <c r="Q953" s="29"/>
      <c r="R953" s="35"/>
      <c r="S953" s="29"/>
      <c r="T953" s="29"/>
      <c r="U953" s="29"/>
    </row>
    <row r="954" spans="13:21">
      <c r="M954" s="29"/>
      <c r="N954" s="29"/>
      <c r="O954" s="29"/>
      <c r="P954" s="29"/>
      <c r="Q954" s="29"/>
      <c r="R954" s="35"/>
      <c r="S954" s="29"/>
      <c r="T954" s="29"/>
      <c r="U954" s="29"/>
    </row>
    <row r="955" spans="13:21">
      <c r="M955" s="29"/>
      <c r="N955" s="29"/>
      <c r="O955" s="29"/>
      <c r="P955" s="29"/>
      <c r="Q955" s="29"/>
      <c r="R955" s="35"/>
      <c r="S955" s="29"/>
      <c r="T955" s="29"/>
      <c r="U955" s="29"/>
    </row>
    <row r="956" spans="13:21">
      <c r="M956" s="29"/>
      <c r="N956" s="29"/>
      <c r="O956" s="29"/>
      <c r="P956" s="29"/>
      <c r="Q956" s="29"/>
      <c r="R956" s="35"/>
      <c r="S956" s="29"/>
      <c r="T956" s="29"/>
      <c r="U956" s="29"/>
    </row>
    <row r="957" spans="13:21">
      <c r="M957" s="29"/>
      <c r="N957" s="29"/>
      <c r="O957" s="29"/>
      <c r="P957" s="29"/>
      <c r="Q957" s="29"/>
      <c r="R957" s="35"/>
      <c r="S957" s="29"/>
      <c r="T957" s="29"/>
      <c r="U957" s="29"/>
    </row>
    <row r="958" spans="13:21">
      <c r="M958" s="29"/>
      <c r="N958" s="29"/>
      <c r="O958" s="29"/>
      <c r="P958" s="29"/>
      <c r="Q958" s="29"/>
      <c r="R958" s="35"/>
      <c r="S958" s="29"/>
      <c r="T958" s="29"/>
      <c r="U958" s="29"/>
    </row>
    <row r="959" spans="13:21">
      <c r="M959" s="29"/>
      <c r="N959" s="29"/>
      <c r="O959" s="29"/>
      <c r="P959" s="29"/>
      <c r="Q959" s="29"/>
      <c r="R959" s="35"/>
      <c r="S959" s="29"/>
      <c r="T959" s="29"/>
      <c r="U959" s="29"/>
    </row>
    <row r="960" spans="13:21">
      <c r="M960" s="29"/>
      <c r="N960" s="29"/>
      <c r="O960" s="29"/>
      <c r="P960" s="29"/>
      <c r="Q960" s="29"/>
      <c r="R960" s="35"/>
      <c r="S960" s="29"/>
      <c r="T960" s="29"/>
      <c r="U960" s="29"/>
    </row>
    <row r="961" spans="13:21">
      <c r="M961" s="29"/>
      <c r="N961" s="29"/>
      <c r="O961" s="29"/>
      <c r="P961" s="29"/>
      <c r="Q961" s="29"/>
      <c r="R961" s="35"/>
      <c r="S961" s="29"/>
      <c r="T961" s="29"/>
      <c r="U961" s="29"/>
    </row>
    <row r="962" spans="13:21">
      <c r="M962" s="29"/>
      <c r="N962" s="29"/>
      <c r="O962" s="29"/>
      <c r="P962" s="29"/>
      <c r="Q962" s="29"/>
      <c r="R962" s="35"/>
      <c r="S962" s="29"/>
      <c r="T962" s="29"/>
      <c r="U962" s="29"/>
    </row>
    <row r="963" spans="13:21">
      <c r="M963" s="29"/>
      <c r="N963" s="29"/>
      <c r="O963" s="29"/>
      <c r="P963" s="29"/>
      <c r="Q963" s="29"/>
      <c r="R963" s="35"/>
      <c r="S963" s="29"/>
      <c r="T963" s="29"/>
      <c r="U963" s="29"/>
    </row>
    <row r="964" spans="13:21">
      <c r="M964" s="29"/>
      <c r="N964" s="29"/>
      <c r="O964" s="29"/>
      <c r="P964" s="29"/>
      <c r="Q964" s="29"/>
      <c r="R964" s="35"/>
      <c r="S964" s="29"/>
      <c r="T964" s="29"/>
      <c r="U964" s="29"/>
    </row>
    <row r="965" spans="13:21">
      <c r="M965" s="29"/>
      <c r="N965" s="29"/>
      <c r="O965" s="29"/>
      <c r="P965" s="29"/>
      <c r="Q965" s="29"/>
      <c r="R965" s="35"/>
      <c r="S965" s="29"/>
      <c r="T965" s="29"/>
      <c r="U965" s="29"/>
    </row>
    <row r="966" spans="13:21">
      <c r="M966" s="29"/>
      <c r="N966" s="29"/>
      <c r="O966" s="29"/>
      <c r="P966" s="29"/>
      <c r="Q966" s="29"/>
      <c r="R966" s="35"/>
      <c r="S966" s="29"/>
      <c r="T966" s="29"/>
      <c r="U966" s="29"/>
    </row>
    <row r="967" spans="13:21">
      <c r="M967" s="29"/>
      <c r="N967" s="29"/>
      <c r="O967" s="29"/>
      <c r="P967" s="29"/>
      <c r="Q967" s="29"/>
      <c r="R967" s="35"/>
      <c r="S967" s="29"/>
      <c r="T967" s="29"/>
      <c r="U967" s="29"/>
    </row>
    <row r="968" spans="13:21">
      <c r="M968" s="29"/>
      <c r="N968" s="29"/>
      <c r="O968" s="29"/>
      <c r="P968" s="29"/>
      <c r="Q968" s="29"/>
      <c r="R968" s="35"/>
      <c r="S968" s="29"/>
      <c r="T968" s="29"/>
      <c r="U968" s="29"/>
    </row>
    <row r="969" spans="13:21">
      <c r="M969" s="29"/>
      <c r="N969" s="29"/>
      <c r="O969" s="29"/>
      <c r="P969" s="29"/>
      <c r="Q969" s="29"/>
      <c r="R969" s="35"/>
      <c r="S969" s="29"/>
      <c r="T969" s="29"/>
      <c r="U969" s="29"/>
    </row>
    <row r="970" spans="13:21">
      <c r="M970" s="29"/>
      <c r="N970" s="29"/>
      <c r="O970" s="29"/>
      <c r="P970" s="29"/>
      <c r="Q970" s="29"/>
      <c r="R970" s="35"/>
      <c r="S970" s="29"/>
      <c r="T970" s="29"/>
      <c r="U970" s="29"/>
    </row>
    <row r="971" spans="13:21">
      <c r="M971" s="29"/>
      <c r="N971" s="29"/>
      <c r="O971" s="29"/>
      <c r="P971" s="29"/>
      <c r="Q971" s="29"/>
      <c r="R971" s="35"/>
      <c r="S971" s="29"/>
      <c r="T971" s="29"/>
      <c r="U971" s="29"/>
    </row>
    <row r="972" spans="13:21">
      <c r="M972" s="29"/>
      <c r="N972" s="29"/>
      <c r="O972" s="29"/>
      <c r="P972" s="29"/>
      <c r="Q972" s="29"/>
      <c r="R972" s="35"/>
      <c r="S972" s="29"/>
      <c r="T972" s="29"/>
      <c r="U972" s="29"/>
    </row>
    <row r="973" spans="13:21">
      <c r="M973" s="29"/>
      <c r="N973" s="29"/>
      <c r="O973" s="29"/>
      <c r="P973" s="29"/>
      <c r="Q973" s="29"/>
      <c r="R973" s="35"/>
      <c r="S973" s="29"/>
      <c r="T973" s="29"/>
      <c r="U973" s="29"/>
    </row>
    <row r="974" spans="13:21">
      <c r="M974" s="29"/>
      <c r="N974" s="29"/>
      <c r="O974" s="29"/>
      <c r="P974" s="29"/>
      <c r="Q974" s="29"/>
      <c r="R974" s="35"/>
      <c r="S974" s="29"/>
      <c r="T974" s="29"/>
      <c r="U974" s="29"/>
    </row>
    <row r="975" spans="13:21">
      <c r="M975" s="29"/>
      <c r="N975" s="29"/>
      <c r="O975" s="29"/>
      <c r="P975" s="29"/>
      <c r="Q975" s="29"/>
      <c r="R975" s="35"/>
      <c r="S975" s="29"/>
      <c r="T975" s="29"/>
      <c r="U975" s="29"/>
    </row>
    <row r="976" spans="13:21">
      <c r="M976" s="29"/>
      <c r="N976" s="29"/>
      <c r="O976" s="29"/>
      <c r="P976" s="29"/>
      <c r="Q976" s="29"/>
      <c r="R976" s="35"/>
      <c r="S976" s="29"/>
      <c r="T976" s="29"/>
      <c r="U976" s="29"/>
    </row>
    <row r="977" spans="13:21">
      <c r="M977" s="29"/>
      <c r="N977" s="29"/>
      <c r="O977" s="29"/>
      <c r="P977" s="29"/>
      <c r="Q977" s="29"/>
      <c r="R977" s="35"/>
      <c r="S977" s="29"/>
      <c r="T977" s="29"/>
      <c r="U977" s="29"/>
    </row>
    <row r="978" spans="13:21">
      <c r="M978" s="29"/>
      <c r="N978" s="29"/>
      <c r="O978" s="29"/>
      <c r="P978" s="29"/>
      <c r="Q978" s="29"/>
      <c r="R978" s="35"/>
      <c r="S978" s="29"/>
      <c r="T978" s="29"/>
      <c r="U978" s="29"/>
    </row>
    <row r="979" spans="13:21">
      <c r="M979" s="29"/>
      <c r="N979" s="29"/>
      <c r="O979" s="29"/>
      <c r="P979" s="29"/>
      <c r="Q979" s="29"/>
      <c r="R979" s="35"/>
      <c r="S979" s="29"/>
      <c r="T979" s="29"/>
      <c r="U979" s="29"/>
    </row>
    <row r="980" spans="13:21">
      <c r="M980" s="29"/>
      <c r="N980" s="29"/>
      <c r="O980" s="29"/>
      <c r="P980" s="29"/>
      <c r="Q980" s="29"/>
      <c r="R980" s="35"/>
      <c r="S980" s="29"/>
      <c r="T980" s="29"/>
      <c r="U980" s="29"/>
    </row>
    <row r="981" spans="13:21">
      <c r="M981" s="29"/>
      <c r="N981" s="29"/>
      <c r="O981" s="29"/>
      <c r="P981" s="29"/>
      <c r="Q981" s="29"/>
      <c r="R981" s="35"/>
      <c r="S981" s="29"/>
      <c r="T981" s="29"/>
      <c r="U981" s="29"/>
    </row>
    <row r="982" spans="13:21">
      <c r="M982" s="29"/>
      <c r="N982" s="29"/>
      <c r="O982" s="29"/>
      <c r="P982" s="29"/>
      <c r="Q982" s="29"/>
      <c r="R982" s="35"/>
      <c r="S982" s="29"/>
      <c r="T982" s="29"/>
      <c r="U982" s="29"/>
    </row>
    <row r="983" spans="13:21">
      <c r="M983" s="29"/>
      <c r="N983" s="29"/>
      <c r="O983" s="29"/>
      <c r="P983" s="29"/>
      <c r="Q983" s="29"/>
      <c r="R983" s="35"/>
      <c r="S983" s="29"/>
      <c r="T983" s="29"/>
      <c r="U983" s="29"/>
    </row>
    <row r="984" spans="13:21">
      <c r="M984" s="29"/>
      <c r="N984" s="29"/>
      <c r="O984" s="29"/>
      <c r="P984" s="29"/>
      <c r="Q984" s="29"/>
      <c r="R984" s="35"/>
      <c r="S984" s="29"/>
      <c r="T984" s="29"/>
      <c r="U984" s="29"/>
    </row>
    <row r="985" spans="13:21">
      <c r="M985" s="29"/>
      <c r="N985" s="29"/>
      <c r="O985" s="29"/>
      <c r="P985" s="29"/>
      <c r="Q985" s="29"/>
      <c r="R985" s="35"/>
      <c r="S985" s="29"/>
      <c r="T985" s="29"/>
      <c r="U985" s="29"/>
    </row>
    <row r="986" spans="13:21">
      <c r="M986" s="29"/>
      <c r="N986" s="29"/>
      <c r="O986" s="29"/>
      <c r="P986" s="29"/>
      <c r="Q986" s="29"/>
      <c r="R986" s="35"/>
      <c r="S986" s="29"/>
      <c r="T986" s="29"/>
      <c r="U986" s="29"/>
    </row>
    <row r="987" spans="13:21">
      <c r="M987" s="29"/>
      <c r="N987" s="29"/>
      <c r="O987" s="29"/>
      <c r="P987" s="29"/>
      <c r="Q987" s="29"/>
      <c r="R987" s="35"/>
      <c r="S987" s="29"/>
      <c r="T987" s="29"/>
      <c r="U987" s="29"/>
    </row>
    <row r="988" spans="13:21">
      <c r="M988" s="29"/>
      <c r="N988" s="29"/>
      <c r="O988" s="29"/>
      <c r="P988" s="29"/>
      <c r="Q988" s="29"/>
      <c r="R988" s="35"/>
      <c r="S988" s="29"/>
      <c r="T988" s="29"/>
      <c r="U988" s="29"/>
    </row>
    <row r="989" spans="13:21">
      <c r="M989" s="29"/>
      <c r="N989" s="29"/>
      <c r="O989" s="29"/>
      <c r="P989" s="29"/>
      <c r="Q989" s="29"/>
      <c r="R989" s="35"/>
      <c r="S989" s="29"/>
      <c r="T989" s="29"/>
      <c r="U989" s="29"/>
    </row>
    <row r="990" spans="13:21">
      <c r="M990" s="29"/>
      <c r="N990" s="29"/>
      <c r="O990" s="29"/>
      <c r="P990" s="29"/>
      <c r="Q990" s="29"/>
      <c r="R990" s="35"/>
      <c r="S990" s="29"/>
      <c r="T990" s="29"/>
      <c r="U990" s="29"/>
    </row>
    <row r="991" spans="13:21">
      <c r="M991" s="29"/>
      <c r="N991" s="29"/>
      <c r="O991" s="29"/>
      <c r="P991" s="29"/>
      <c r="Q991" s="29"/>
      <c r="R991" s="35"/>
      <c r="S991" s="29"/>
      <c r="T991" s="29"/>
      <c r="U991" s="29"/>
    </row>
    <row r="992" spans="13:21">
      <c r="M992" s="29"/>
      <c r="N992" s="29"/>
      <c r="O992" s="29"/>
      <c r="P992" s="29"/>
      <c r="Q992" s="29"/>
      <c r="R992" s="35"/>
      <c r="S992" s="29"/>
      <c r="T992" s="29"/>
      <c r="U992" s="29"/>
    </row>
    <row r="993" spans="13:21">
      <c r="M993" s="29"/>
      <c r="N993" s="29"/>
      <c r="O993" s="29"/>
      <c r="P993" s="29"/>
      <c r="Q993" s="29"/>
      <c r="R993" s="35"/>
      <c r="S993" s="29"/>
      <c r="T993" s="29"/>
      <c r="U993" s="29"/>
    </row>
    <row r="994" spans="13:21">
      <c r="M994" s="29"/>
      <c r="N994" s="29"/>
      <c r="O994" s="29"/>
      <c r="P994" s="29"/>
      <c r="Q994" s="29"/>
      <c r="R994" s="35"/>
      <c r="S994" s="29"/>
      <c r="T994" s="29"/>
      <c r="U994" s="29"/>
    </row>
    <row r="995" spans="13:21">
      <c r="M995" s="29"/>
      <c r="N995" s="29"/>
      <c r="O995" s="29"/>
      <c r="P995" s="29"/>
      <c r="Q995" s="29"/>
      <c r="R995" s="35"/>
      <c r="S995" s="29"/>
      <c r="T995" s="29"/>
      <c r="U995" s="29"/>
    </row>
    <row r="996" spans="13:21">
      <c r="M996" s="29"/>
      <c r="N996" s="29"/>
      <c r="O996" s="29"/>
      <c r="P996" s="29"/>
      <c r="Q996" s="29"/>
      <c r="R996" s="35"/>
      <c r="S996" s="29"/>
      <c r="T996" s="29"/>
      <c r="U996" s="29"/>
    </row>
    <row r="997" spans="13:21">
      <c r="M997" s="29"/>
      <c r="N997" s="29"/>
      <c r="O997" s="29"/>
      <c r="P997" s="29"/>
      <c r="Q997" s="29"/>
      <c r="R997" s="35"/>
      <c r="S997" s="29"/>
      <c r="T997" s="29"/>
      <c r="U997" s="29"/>
    </row>
    <row r="998" spans="13:21">
      <c r="M998" s="29"/>
      <c r="N998" s="29"/>
      <c r="O998" s="29"/>
      <c r="P998" s="29"/>
      <c r="Q998" s="29"/>
      <c r="R998" s="35"/>
      <c r="S998" s="29"/>
      <c r="T998" s="29"/>
      <c r="U998" s="29"/>
    </row>
    <row r="999" spans="13:21">
      <c r="M999" s="29"/>
      <c r="N999" s="29"/>
      <c r="O999" s="29"/>
      <c r="P999" s="29"/>
      <c r="Q999" s="29"/>
      <c r="R999" s="35"/>
      <c r="S999" s="29"/>
      <c r="T999" s="29"/>
      <c r="U999" s="29"/>
    </row>
    <row r="1000" spans="13:21">
      <c r="M1000" s="29"/>
      <c r="N1000" s="29"/>
      <c r="O1000" s="29"/>
      <c r="P1000" s="29"/>
      <c r="Q1000" s="29"/>
      <c r="R1000" s="35"/>
      <c r="S1000" s="29"/>
      <c r="T1000" s="29"/>
      <c r="U1000" s="29"/>
    </row>
    <row r="1001" spans="13:21">
      <c r="M1001" s="29"/>
      <c r="N1001" s="29"/>
      <c r="O1001" s="29"/>
      <c r="P1001" s="29"/>
      <c r="Q1001" s="29"/>
      <c r="R1001" s="35"/>
      <c r="S1001" s="29"/>
      <c r="T1001" s="29"/>
      <c r="U1001" s="29"/>
    </row>
    <row r="1002" spans="13:21">
      <c r="M1002" s="29"/>
      <c r="N1002" s="29"/>
      <c r="O1002" s="29"/>
      <c r="P1002" s="29"/>
      <c r="Q1002" s="29"/>
      <c r="R1002" s="35"/>
      <c r="S1002" s="29"/>
      <c r="T1002" s="29"/>
      <c r="U1002" s="29"/>
    </row>
    <row r="1003" spans="13:21">
      <c r="M1003" s="29"/>
      <c r="N1003" s="29"/>
      <c r="O1003" s="29"/>
      <c r="P1003" s="29"/>
      <c r="Q1003" s="29"/>
      <c r="R1003" s="35"/>
      <c r="S1003" s="29"/>
      <c r="T1003" s="29"/>
      <c r="U1003" s="29"/>
    </row>
    <row r="1004" spans="13:21">
      <c r="M1004" s="29"/>
      <c r="N1004" s="29"/>
      <c r="O1004" s="29"/>
      <c r="P1004" s="29"/>
      <c r="Q1004" s="29"/>
      <c r="R1004" s="35"/>
      <c r="S1004" s="29"/>
      <c r="T1004" s="29"/>
      <c r="U1004" s="29"/>
    </row>
  </sheetData>
  <phoneticPr fontId="1" type="noConversion"/>
  <dataValidations count="3">
    <dataValidation type="list" allowBlank="1" showInputMessage="1" showErrorMessage="1" sqref="C7 C15" xr:uid="{91302543-0130-48E4-AC2A-7D5EDE239ED6}">
      <formula1>"ST, MF, RT, SC, IF, DR, SW, SR, EW, EF, BC, FE FS"</formula1>
    </dataValidation>
    <dataValidation type="list" allowBlank="1" showInputMessage="1" showErrorMessage="1" sqref="C8 C16" xr:uid="{D4F4A548-43EF-43AB-A225-C9A140289782}">
      <formula1>"rate, cap, marketcap, trading_value, trading, trading_vol, vol, volume, price, close"</formula1>
    </dataValidation>
    <dataValidation type="list" allowBlank="1" showInputMessage="1" showErrorMessage="1" sqref="C6 C14" xr:uid="{928DDCE7-DA2C-4B9D-A31B-F75621F9513A}">
      <formula1>"1, 2, 5, 7, 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4" r:id="rId3" name="Button 16">
              <controlPr defaultSize="0" print="0" autoFill="0" autoPict="0" macro="[0]!Sheet8.RankList">
                <anchor moveWithCells="1" sizeWithCells="1">
                  <from>
                    <xdr:col>2</xdr:col>
                    <xdr:colOff>1009650</xdr:colOff>
                    <xdr:row>3</xdr:row>
                    <xdr:rowOff>104775</xdr:rowOff>
                  </from>
                  <to>
                    <xdr:col>4</xdr:col>
                    <xdr:colOff>38100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25E9-BB38-4EA3-8AC9-759967E609D6}">
  <sheetPr codeName="Sheet7"/>
  <dimension ref="A2:N599"/>
  <sheetViews>
    <sheetView topLeftCell="B1" workbookViewId="0">
      <selection activeCell="I15" sqref="I15"/>
    </sheetView>
  </sheetViews>
  <sheetFormatPr defaultRowHeight="16.5"/>
  <cols>
    <col min="1" max="1" width="9" style="8"/>
    <col min="2" max="2" width="24.875" style="8" bestFit="1" customWidth="1"/>
    <col min="3" max="3" width="21.875" style="8" bestFit="1" customWidth="1"/>
    <col min="4" max="6" width="9" style="8"/>
    <col min="7" max="7" width="6.75" style="12" bestFit="1" customWidth="1"/>
    <col min="8" max="8" width="34.375" style="22" customWidth="1"/>
    <col min="9" max="9" width="18.5" style="23" bestFit="1" customWidth="1"/>
    <col min="10" max="10" width="20.25" style="21" customWidth="1"/>
    <col min="11" max="11" width="22.25" style="12" customWidth="1"/>
    <col min="12" max="12" width="14" customWidth="1"/>
    <col min="13" max="14" width="16.875" bestFit="1" customWidth="1"/>
  </cols>
  <sheetData>
    <row r="2" spans="2:14">
      <c r="I2" s="27"/>
      <c r="K2" s="23"/>
      <c r="M2" s="25"/>
      <c r="N2" s="27">
        <f>SUM(N4:N1000)/10000</f>
        <v>750.13548229590322</v>
      </c>
    </row>
    <row r="3" spans="2:14">
      <c r="B3" s="2" t="s">
        <v>1699</v>
      </c>
      <c r="F3" s="11" t="s">
        <v>1695</v>
      </c>
      <c r="G3" s="11" t="s">
        <v>12</v>
      </c>
      <c r="H3" s="19" t="s">
        <v>13</v>
      </c>
      <c r="I3" s="20" t="s">
        <v>1698</v>
      </c>
      <c r="J3" s="20" t="s">
        <v>823</v>
      </c>
      <c r="K3" s="11" t="s">
        <v>826</v>
      </c>
      <c r="L3" s="11" t="s">
        <v>1690</v>
      </c>
      <c r="M3" s="11" t="s">
        <v>1696</v>
      </c>
      <c r="N3" s="11" t="s">
        <v>1697</v>
      </c>
    </row>
    <row r="4" spans="2:14">
      <c r="B4" s="3" t="s">
        <v>1683</v>
      </c>
      <c r="C4" s="5">
        <v>44927</v>
      </c>
      <c r="F4" s="12">
        <v>1</v>
      </c>
      <c r="G4" s="12">
        <v>252670</v>
      </c>
      <c r="H4" s="22" t="s">
        <v>613</v>
      </c>
      <c r="I4" s="13">
        <v>2472.1581162500006</v>
      </c>
      <c r="J4" s="26" t="s">
        <v>836</v>
      </c>
      <c r="K4" s="13" t="s">
        <v>831</v>
      </c>
      <c r="L4" s="24">
        <v>2714.2250635593218</v>
      </c>
      <c r="M4" s="24">
        <v>29665.897395</v>
      </c>
      <c r="N4" s="24">
        <v>814813.89794435003</v>
      </c>
    </row>
    <row r="5" spans="2:14">
      <c r="B5" s="3" t="s">
        <v>1684</v>
      </c>
      <c r="C5" s="5">
        <v>45291</v>
      </c>
      <c r="F5" s="12">
        <v>2</v>
      </c>
      <c r="G5" s="12">
        <v>251340</v>
      </c>
      <c r="H5" s="22" t="s">
        <v>744</v>
      </c>
      <c r="I5" s="13">
        <v>1160.1274025833336</v>
      </c>
      <c r="J5" s="26" t="s">
        <v>836</v>
      </c>
      <c r="K5" s="13" t="s">
        <v>831</v>
      </c>
      <c r="L5" s="24">
        <v>4165.733686440678</v>
      </c>
      <c r="M5" s="24">
        <v>13921.528831</v>
      </c>
      <c r="N5" s="24">
        <v>557307.73962244997</v>
      </c>
    </row>
    <row r="6" spans="2:14">
      <c r="B6" s="3" t="s">
        <v>1687</v>
      </c>
      <c r="C6" s="2" t="s">
        <v>10</v>
      </c>
      <c r="F6" s="12">
        <v>3</v>
      </c>
      <c r="G6" s="12">
        <v>233740</v>
      </c>
      <c r="H6" s="22" t="s">
        <v>241</v>
      </c>
      <c r="I6" s="13">
        <v>423.44032908333338</v>
      </c>
      <c r="J6" s="26" t="s">
        <v>861</v>
      </c>
      <c r="K6" s="13" t="s">
        <v>831</v>
      </c>
      <c r="L6" s="24">
        <v>10291.665656779662</v>
      </c>
      <c r="M6" s="24">
        <v>5081.2839489999997</v>
      </c>
      <c r="N6" s="24">
        <v>521032.66074475</v>
      </c>
    </row>
    <row r="7" spans="2:14">
      <c r="B7" s="3" t="s">
        <v>1689</v>
      </c>
      <c r="C7" s="2" t="s">
        <v>5</v>
      </c>
      <c r="F7" s="12">
        <v>4</v>
      </c>
      <c r="G7" s="12">
        <v>114800</v>
      </c>
      <c r="H7" s="22" t="s">
        <v>336</v>
      </c>
      <c r="I7" s="13">
        <v>352.63515066666668</v>
      </c>
      <c r="J7" s="26" t="s">
        <v>836</v>
      </c>
      <c r="K7" s="13" t="s">
        <v>831</v>
      </c>
      <c r="L7" s="24">
        <v>4662.53529661017</v>
      </c>
      <c r="M7" s="24">
        <v>4231.6218079999999</v>
      </c>
      <c r="N7" s="24">
        <v>198310.63135869999</v>
      </c>
    </row>
    <row r="8" spans="2:14">
      <c r="B8" s="3" t="s">
        <v>1692</v>
      </c>
      <c r="C8" s="18">
        <v>0.05</v>
      </c>
      <c r="F8" s="12">
        <v>5</v>
      </c>
      <c r="G8" s="12">
        <v>122630</v>
      </c>
      <c r="H8" s="22" t="s">
        <v>800</v>
      </c>
      <c r="I8" s="13">
        <v>334.09266950000006</v>
      </c>
      <c r="J8" s="26" t="s">
        <v>861</v>
      </c>
      <c r="K8" s="13" t="s">
        <v>831</v>
      </c>
      <c r="L8" s="24">
        <v>15932.90779661017</v>
      </c>
      <c r="M8" s="24">
        <v>4009.1120340000002</v>
      </c>
      <c r="N8" s="24">
        <v>627148.60991574998</v>
      </c>
    </row>
    <row r="9" spans="2:14">
      <c r="B9" s="3" t="s">
        <v>1691</v>
      </c>
      <c r="C9" s="4">
        <v>5</v>
      </c>
      <c r="F9" s="12">
        <v>6</v>
      </c>
      <c r="G9" s="12">
        <v>229200</v>
      </c>
      <c r="H9" s="22" t="s">
        <v>715</v>
      </c>
      <c r="I9" s="13">
        <v>173.09822308333335</v>
      </c>
      <c r="J9" s="26" t="s">
        <v>840</v>
      </c>
      <c r="K9" s="13" t="s">
        <v>831</v>
      </c>
      <c r="L9" s="24">
        <v>12776.544978813561</v>
      </c>
      <c r="M9" s="24">
        <v>2077.1786769999999</v>
      </c>
      <c r="N9" s="24">
        <v>264646.96501238999</v>
      </c>
    </row>
    <row r="10" spans="2:14">
      <c r="B10" s="3" t="s">
        <v>1688</v>
      </c>
      <c r="C10" s="4">
        <v>300</v>
      </c>
      <c r="F10" s="12">
        <v>7</v>
      </c>
      <c r="G10" s="12">
        <v>69500</v>
      </c>
      <c r="H10" s="22" t="s">
        <v>583</v>
      </c>
      <c r="I10" s="13">
        <v>116.60078200000001</v>
      </c>
      <c r="J10" s="26" t="s">
        <v>840</v>
      </c>
      <c r="K10" s="13" t="s">
        <v>831</v>
      </c>
      <c r="L10" s="24">
        <v>33083.922669491527</v>
      </c>
      <c r="M10" s="24">
        <v>1399.209384</v>
      </c>
      <c r="N10" s="24">
        <v>461008.70012643002</v>
      </c>
    </row>
    <row r="11" spans="2:14">
      <c r="F11" s="12">
        <v>8</v>
      </c>
      <c r="G11" s="12">
        <v>371460</v>
      </c>
      <c r="H11" s="22" t="s">
        <v>779</v>
      </c>
      <c r="I11" s="13">
        <v>87.603712833333347</v>
      </c>
      <c r="J11" s="26" t="s">
        <v>853</v>
      </c>
      <c r="K11" s="13" t="s">
        <v>828</v>
      </c>
      <c r="L11" s="24">
        <v>10234.709152542373</v>
      </c>
      <c r="M11" s="24">
        <v>1051.2445540000001</v>
      </c>
      <c r="N11" s="24">
        <v>108436.66763425</v>
      </c>
    </row>
    <row r="12" spans="2:14">
      <c r="F12" s="12">
        <v>9</v>
      </c>
      <c r="G12" s="12">
        <v>252710</v>
      </c>
      <c r="H12" s="22" t="s">
        <v>108</v>
      </c>
      <c r="I12" s="13">
        <v>59.025711250000008</v>
      </c>
      <c r="J12" s="26" t="s">
        <v>836</v>
      </c>
      <c r="K12" s="13" t="s">
        <v>828</v>
      </c>
      <c r="L12" s="24">
        <v>2862.2993432203389</v>
      </c>
      <c r="M12" s="24">
        <v>708.30853500000001</v>
      </c>
      <c r="N12" s="24">
        <v>20884.561990350001</v>
      </c>
    </row>
    <row r="13" spans="2:14">
      <c r="F13" s="12">
        <v>10</v>
      </c>
      <c r="G13" s="12">
        <v>462010</v>
      </c>
      <c r="H13" s="22" t="s">
        <v>526</v>
      </c>
      <c r="I13" s="13">
        <v>56.318319833333334</v>
      </c>
      <c r="J13" s="26" t="s">
        <v>848</v>
      </c>
      <c r="K13" s="13" t="s">
        <v>828</v>
      </c>
      <c r="L13" s="24">
        <v>9596.8252830188685</v>
      </c>
      <c r="M13" s="24">
        <v>675.819838</v>
      </c>
      <c r="N13" s="24">
        <v>69603.987817250003</v>
      </c>
    </row>
    <row r="14" spans="2:14">
      <c r="F14" s="12">
        <v>11</v>
      </c>
      <c r="G14" s="12">
        <v>305720</v>
      </c>
      <c r="H14" s="22" t="s">
        <v>716</v>
      </c>
      <c r="I14" s="13">
        <v>44.506256416666673</v>
      </c>
      <c r="J14" s="26" t="s">
        <v>848</v>
      </c>
      <c r="K14" s="13" t="s">
        <v>831</v>
      </c>
      <c r="L14" s="24">
        <v>25983.023665254237</v>
      </c>
      <c r="M14" s="24">
        <v>534.07507699999996</v>
      </c>
      <c r="N14" s="24">
        <v>142380.23529680001</v>
      </c>
    </row>
    <row r="15" spans="2:14">
      <c r="F15" s="12">
        <v>12</v>
      </c>
      <c r="G15" s="12">
        <v>305540</v>
      </c>
      <c r="H15" s="22" t="s">
        <v>443</v>
      </c>
      <c r="I15" s="13">
        <v>38.490058833333336</v>
      </c>
      <c r="J15" s="26" t="s">
        <v>848</v>
      </c>
      <c r="K15" s="13" t="s">
        <v>828</v>
      </c>
      <c r="L15" s="24">
        <v>27982.943813559323</v>
      </c>
      <c r="M15" s="24">
        <v>461.88070599999998</v>
      </c>
      <c r="N15" s="24">
        <v>135534.5496123</v>
      </c>
    </row>
    <row r="16" spans="2:14">
      <c r="F16" s="12">
        <v>13</v>
      </c>
      <c r="G16" s="12">
        <v>396500</v>
      </c>
      <c r="H16" s="22" t="s">
        <v>33</v>
      </c>
      <c r="I16" s="13">
        <v>31.359234166666667</v>
      </c>
      <c r="J16" s="26" t="s">
        <v>848</v>
      </c>
      <c r="K16" s="13" t="s">
        <v>828</v>
      </c>
      <c r="L16" s="24">
        <v>8618.8797245762707</v>
      </c>
      <c r="M16" s="24">
        <v>376.31081</v>
      </c>
      <c r="N16" s="24">
        <v>34295.237478050003</v>
      </c>
    </row>
    <row r="17" spans="6:14">
      <c r="F17" s="12">
        <v>14</v>
      </c>
      <c r="G17" s="12">
        <v>196230</v>
      </c>
      <c r="H17" s="22" t="s">
        <v>473</v>
      </c>
      <c r="I17" s="13">
        <v>30.450763833333337</v>
      </c>
      <c r="J17" s="26" t="s">
        <v>835</v>
      </c>
      <c r="K17" s="13" t="s">
        <v>837</v>
      </c>
      <c r="L17" s="24">
        <v>108164.15345338982</v>
      </c>
      <c r="M17" s="24">
        <v>365.40916600000003</v>
      </c>
      <c r="N17" s="24">
        <v>394094.89083624998</v>
      </c>
    </row>
    <row r="18" spans="6:14">
      <c r="F18" s="12">
        <v>15</v>
      </c>
      <c r="G18" s="12">
        <v>371160</v>
      </c>
      <c r="H18" s="22" t="s">
        <v>472</v>
      </c>
      <c r="I18" s="13">
        <v>30.302588750000005</v>
      </c>
      <c r="J18" s="26" t="s">
        <v>853</v>
      </c>
      <c r="K18" s="13" t="s">
        <v>828</v>
      </c>
      <c r="L18" s="24">
        <v>5870.5000423728816</v>
      </c>
      <c r="M18" s="24">
        <v>363.63106499999998</v>
      </c>
      <c r="N18" s="24">
        <v>21537.948231049999</v>
      </c>
    </row>
    <row r="19" spans="6:14">
      <c r="F19" s="12">
        <v>16</v>
      </c>
      <c r="G19" s="12">
        <v>250780</v>
      </c>
      <c r="H19" s="22" t="s">
        <v>585</v>
      </c>
      <c r="I19" s="13">
        <v>20.457544666666667</v>
      </c>
      <c r="J19" s="26" t="s">
        <v>836</v>
      </c>
      <c r="K19" s="13" t="s">
        <v>828</v>
      </c>
      <c r="L19" s="24">
        <v>4275.5263135593223</v>
      </c>
      <c r="M19" s="24">
        <v>245.49053599999999</v>
      </c>
      <c r="N19" s="24">
        <v>9919.1405219499993</v>
      </c>
    </row>
    <row r="20" spans="6:14">
      <c r="F20" s="12">
        <v>17</v>
      </c>
      <c r="G20" s="12">
        <v>455860</v>
      </c>
      <c r="H20" s="22" t="s">
        <v>87</v>
      </c>
      <c r="I20" s="13">
        <v>19.450166500000002</v>
      </c>
      <c r="J20" s="26" t="s">
        <v>848</v>
      </c>
      <c r="K20" s="13" t="s">
        <v>844</v>
      </c>
      <c r="L20" s="24">
        <v>9099.4912658227859</v>
      </c>
      <c r="M20" s="24">
        <v>233.40199799999999</v>
      </c>
      <c r="N20" s="24">
        <v>22351.904707049998</v>
      </c>
    </row>
    <row r="21" spans="6:14">
      <c r="F21" s="12">
        <v>18</v>
      </c>
      <c r="G21" s="12">
        <v>360750</v>
      </c>
      <c r="H21" s="22" t="s">
        <v>545</v>
      </c>
      <c r="I21" s="13">
        <v>18.70997666666667</v>
      </c>
      <c r="J21" s="26" t="s">
        <v>832</v>
      </c>
      <c r="K21" s="13" t="s">
        <v>828</v>
      </c>
      <c r="L21" s="24">
        <v>13960.262055084746</v>
      </c>
      <c r="M21" s="24">
        <v>142142</v>
      </c>
      <c r="N21" s="24">
        <v>31163.77051649</v>
      </c>
    </row>
    <row r="22" spans="6:14">
      <c r="F22" s="12">
        <v>19</v>
      </c>
      <c r="G22" s="12">
        <v>381180</v>
      </c>
      <c r="H22" s="22" t="s">
        <v>281</v>
      </c>
      <c r="I22" s="13">
        <v>18.695853249999999</v>
      </c>
      <c r="J22" s="26" t="s">
        <v>853</v>
      </c>
      <c r="K22" s="13" t="s">
        <v>828</v>
      </c>
      <c r="L22" s="24">
        <v>11650.960826271186</v>
      </c>
      <c r="M22" s="24">
        <v>224.35023899999999</v>
      </c>
      <c r="N22" s="24">
        <v>26222.64838115</v>
      </c>
    </row>
    <row r="23" spans="6:14">
      <c r="F23" s="12">
        <v>20</v>
      </c>
      <c r="G23" s="12">
        <v>102110</v>
      </c>
      <c r="H23" s="22" t="s">
        <v>726</v>
      </c>
      <c r="I23" s="13">
        <v>18.24616291666667</v>
      </c>
      <c r="J23" s="26" t="s">
        <v>840</v>
      </c>
      <c r="K23" s="13" t="s">
        <v>828</v>
      </c>
      <c r="L23" s="24">
        <v>33119.291970338985</v>
      </c>
      <c r="M23" s="24">
        <v>218.95395500000001</v>
      </c>
      <c r="N23" s="24">
        <v>71713.515254149999</v>
      </c>
    </row>
    <row r="24" spans="6:14">
      <c r="F24" s="12">
        <v>21</v>
      </c>
      <c r="G24" s="12">
        <v>462330</v>
      </c>
      <c r="H24" s="22" t="s">
        <v>702</v>
      </c>
      <c r="I24" s="13">
        <v>17.441035583333335</v>
      </c>
      <c r="J24" s="26" t="s">
        <v>848</v>
      </c>
      <c r="K24" s="13" t="s">
        <v>831</v>
      </c>
      <c r="L24" s="24">
        <v>7950.132168141592</v>
      </c>
      <c r="M24" s="24">
        <v>209.292427</v>
      </c>
      <c r="N24" s="24">
        <v>12939.528932450001</v>
      </c>
    </row>
    <row r="25" spans="6:14">
      <c r="F25" s="12">
        <v>22</v>
      </c>
      <c r="G25" s="12">
        <v>157450</v>
      </c>
      <c r="H25" s="22" t="s">
        <v>223</v>
      </c>
      <c r="I25" s="13">
        <v>17.375615916666668</v>
      </c>
      <c r="J25" s="26" t="s">
        <v>835</v>
      </c>
      <c r="K25" s="13" t="s">
        <v>828</v>
      </c>
      <c r="L25" s="24">
        <v>103747.71555084747</v>
      </c>
      <c r="M25" s="24">
        <v>208.50739100000001</v>
      </c>
      <c r="N25" s="24">
        <v>215606.788436</v>
      </c>
    </row>
    <row r="26" spans="6:14">
      <c r="F26" s="12">
        <v>23</v>
      </c>
      <c r="G26" s="12">
        <v>381170</v>
      </c>
      <c r="H26" s="22" t="s">
        <v>570</v>
      </c>
      <c r="I26" s="13">
        <v>16.234107666666667</v>
      </c>
      <c r="J26" s="26" t="s">
        <v>832</v>
      </c>
      <c r="K26" s="13" t="s">
        <v>828</v>
      </c>
      <c r="L26" s="24">
        <v>12283.963262711864</v>
      </c>
      <c r="M26" s="24">
        <v>194.809292</v>
      </c>
      <c r="N26" s="24">
        <v>24394.69434115</v>
      </c>
    </row>
    <row r="27" spans="6:14">
      <c r="F27" s="12">
        <v>24</v>
      </c>
      <c r="G27" s="12">
        <v>455850</v>
      </c>
      <c r="H27" s="22" t="s">
        <v>476</v>
      </c>
      <c r="I27" s="13">
        <v>15.861881916666668</v>
      </c>
      <c r="J27" s="26" t="s">
        <v>848</v>
      </c>
      <c r="K27" s="13" t="s">
        <v>844</v>
      </c>
      <c r="L27" s="24">
        <v>11852.432816455696</v>
      </c>
      <c r="M27" s="24">
        <v>190.34258299999999</v>
      </c>
      <c r="N27" s="24">
        <v>23271.672215750001</v>
      </c>
    </row>
    <row r="28" spans="6:14">
      <c r="F28" s="12">
        <v>25</v>
      </c>
      <c r="G28" s="12">
        <v>190620</v>
      </c>
      <c r="H28" s="22" t="s">
        <v>180</v>
      </c>
      <c r="I28" s="13">
        <v>14.417284250000002</v>
      </c>
      <c r="J28" s="26" t="s">
        <v>835</v>
      </c>
      <c r="K28" s="13" t="s">
        <v>839</v>
      </c>
      <c r="L28" s="24">
        <v>101846.84050847458</v>
      </c>
      <c r="M28" s="24">
        <v>173.00741099999999</v>
      </c>
      <c r="N28" s="24">
        <v>176205.45149025001</v>
      </c>
    </row>
    <row r="29" spans="6:14">
      <c r="F29" s="12">
        <v>26</v>
      </c>
      <c r="G29" s="12">
        <v>461950</v>
      </c>
      <c r="H29" s="22" t="s">
        <v>691</v>
      </c>
      <c r="I29" s="13">
        <v>14.109478500000002</v>
      </c>
      <c r="J29" s="26" t="s">
        <v>848</v>
      </c>
      <c r="K29" s="13" t="s">
        <v>831</v>
      </c>
      <c r="L29" s="24">
        <v>10224.79221238938</v>
      </c>
      <c r="M29" s="24">
        <v>169.31374199999999</v>
      </c>
      <c r="N29" s="24">
        <v>18520.371922949998</v>
      </c>
    </row>
    <row r="30" spans="6:14">
      <c r="F30" s="12">
        <v>27</v>
      </c>
      <c r="G30" s="12">
        <v>204450</v>
      </c>
      <c r="H30" s="22" t="s">
        <v>706</v>
      </c>
      <c r="I30" s="13">
        <v>13.364778416666669</v>
      </c>
      <c r="J30" s="26" t="s">
        <v>854</v>
      </c>
      <c r="K30" s="13" t="s">
        <v>831</v>
      </c>
      <c r="L30" s="24">
        <v>1981.2595338983051</v>
      </c>
      <c r="M30" s="24">
        <v>160.377341</v>
      </c>
      <c r="N30" s="24">
        <v>3205.0500823500001</v>
      </c>
    </row>
    <row r="31" spans="6:14">
      <c r="F31" s="12">
        <v>28</v>
      </c>
      <c r="G31" s="12">
        <v>465350</v>
      </c>
      <c r="H31" s="22" t="s">
        <v>216</v>
      </c>
      <c r="I31" s="13">
        <v>13.243949500000001</v>
      </c>
      <c r="J31" s="26" t="s">
        <v>836</v>
      </c>
      <c r="K31" s="13" t="s">
        <v>837</v>
      </c>
      <c r="L31" s="24">
        <v>23073.506953125001</v>
      </c>
      <c r="M31" s="24">
        <v>158.92739399999999</v>
      </c>
      <c r="N31" s="24">
        <v>36661.110031900003</v>
      </c>
    </row>
    <row r="32" spans="6:14">
      <c r="F32" s="12">
        <v>29</v>
      </c>
      <c r="G32" s="12">
        <v>364980</v>
      </c>
      <c r="H32" s="22" t="s">
        <v>144</v>
      </c>
      <c r="I32" s="13">
        <v>13.063822250000001</v>
      </c>
      <c r="J32" s="26" t="s">
        <v>848</v>
      </c>
      <c r="K32" s="13" t="s">
        <v>828</v>
      </c>
      <c r="L32" s="24">
        <v>17195.793177966101</v>
      </c>
      <c r="M32" s="24">
        <v>156.76586699999999</v>
      </c>
      <c r="N32" s="24">
        <v>27402.040973359999</v>
      </c>
    </row>
    <row r="33" spans="6:14">
      <c r="F33" s="12">
        <v>30</v>
      </c>
      <c r="G33" s="12">
        <v>228790</v>
      </c>
      <c r="H33" s="22" t="s">
        <v>801</v>
      </c>
      <c r="I33" s="13">
        <v>13.006099666666668</v>
      </c>
      <c r="J33" s="26" t="s">
        <v>845</v>
      </c>
      <c r="K33" s="13" t="s">
        <v>828</v>
      </c>
      <c r="L33" s="24">
        <v>2339.9340677966097</v>
      </c>
      <c r="M33" s="24">
        <v>156.073196</v>
      </c>
      <c r="N33" s="24">
        <v>3726.8176987500001</v>
      </c>
    </row>
    <row r="34" spans="6:14">
      <c r="F34" s="12">
        <v>31</v>
      </c>
      <c r="G34" s="12">
        <v>123310</v>
      </c>
      <c r="H34" s="22" t="s">
        <v>754</v>
      </c>
      <c r="I34" s="13">
        <v>12.840798583333333</v>
      </c>
      <c r="J34" s="26" t="s">
        <v>836</v>
      </c>
      <c r="K34" s="13" t="s">
        <v>828</v>
      </c>
      <c r="L34" s="24">
        <v>5214.3522033898298</v>
      </c>
      <c r="M34" s="24">
        <v>154.089583</v>
      </c>
      <c r="N34" s="24">
        <v>8163.0409642499999</v>
      </c>
    </row>
    <row r="35" spans="6:14">
      <c r="F35" s="12">
        <v>32</v>
      </c>
      <c r="G35" s="12">
        <v>304660</v>
      </c>
      <c r="H35" s="22" t="s">
        <v>126</v>
      </c>
      <c r="I35" s="13">
        <v>12.639012750000003</v>
      </c>
      <c r="J35" s="26" t="s">
        <v>856</v>
      </c>
      <c r="K35" s="13" t="s">
        <v>831</v>
      </c>
      <c r="L35" s="24">
        <v>8454.7701483050841</v>
      </c>
      <c r="M35" s="24">
        <v>151.66815299999999</v>
      </c>
      <c r="N35" s="24">
        <v>12894.7552185</v>
      </c>
    </row>
    <row r="36" spans="6:14">
      <c r="F36" s="12">
        <v>33</v>
      </c>
      <c r="G36" s="12">
        <v>271050</v>
      </c>
      <c r="H36" s="22" t="s">
        <v>348</v>
      </c>
      <c r="I36" s="13">
        <v>12.562095083333334</v>
      </c>
      <c r="J36" s="26" t="s">
        <v>829</v>
      </c>
      <c r="K36" s="13" t="s">
        <v>831</v>
      </c>
      <c r="L36" s="24">
        <v>4751.6167372881355</v>
      </c>
      <c r="M36" s="24">
        <v>150.74514099999999</v>
      </c>
      <c r="N36" s="24">
        <v>7229.7808563500002</v>
      </c>
    </row>
    <row r="37" spans="6:14">
      <c r="F37" s="12">
        <v>34</v>
      </c>
      <c r="G37" s="12">
        <v>388420</v>
      </c>
      <c r="H37" s="22" t="s">
        <v>32</v>
      </c>
      <c r="I37" s="13">
        <v>12.396064083333334</v>
      </c>
      <c r="J37" s="26" t="s">
        <v>848</v>
      </c>
      <c r="K37" s="13" t="s">
        <v>837</v>
      </c>
      <c r="L37" s="24">
        <v>9465.8068008474565</v>
      </c>
      <c r="M37" s="24">
        <v>148.752769</v>
      </c>
      <c r="N37" s="24">
        <v>15410.909786550001</v>
      </c>
    </row>
    <row r="38" spans="6:14">
      <c r="F38" s="12">
        <v>35</v>
      </c>
      <c r="G38" s="12">
        <v>453850</v>
      </c>
      <c r="H38" s="22" t="s">
        <v>719</v>
      </c>
      <c r="I38" s="13">
        <v>11.048250666666668</v>
      </c>
      <c r="J38" s="26" t="s">
        <v>841</v>
      </c>
      <c r="K38" s="13" t="s">
        <v>839</v>
      </c>
      <c r="L38" s="24">
        <v>9128.8982978723416</v>
      </c>
      <c r="M38" s="24">
        <v>132.57900799999999</v>
      </c>
      <c r="N38" s="24">
        <v>11802.71496945</v>
      </c>
    </row>
    <row r="39" spans="6:14">
      <c r="F39" s="12">
        <v>36</v>
      </c>
      <c r="G39" s="12">
        <v>153130</v>
      </c>
      <c r="H39" s="22" t="s">
        <v>100</v>
      </c>
      <c r="I39" s="13">
        <v>10.954934083333335</v>
      </c>
      <c r="J39" s="26" t="s">
        <v>835</v>
      </c>
      <c r="K39" s="13" t="s">
        <v>831</v>
      </c>
      <c r="L39" s="24">
        <v>106287.56993644068</v>
      </c>
      <c r="M39" s="24">
        <v>131.45920899999999</v>
      </c>
      <c r="N39" s="24">
        <v>139024.21627204999</v>
      </c>
    </row>
    <row r="40" spans="6:14">
      <c r="F40" s="12">
        <v>37</v>
      </c>
      <c r="G40" s="12">
        <v>409820</v>
      </c>
      <c r="H40" s="22" t="s">
        <v>86</v>
      </c>
      <c r="I40" s="13">
        <v>10.826196666666668</v>
      </c>
      <c r="J40" s="26" t="s">
        <v>854</v>
      </c>
      <c r="K40" s="13" t="s">
        <v>831</v>
      </c>
      <c r="L40" s="24">
        <v>6216.9767161016944</v>
      </c>
      <c r="M40" s="24">
        <v>129.91435999999999</v>
      </c>
      <c r="N40" s="24">
        <v>7446.5569655999998</v>
      </c>
    </row>
    <row r="41" spans="6:14">
      <c r="F41" s="12">
        <v>38</v>
      </c>
      <c r="G41" s="12">
        <v>278530</v>
      </c>
      <c r="H41" s="22" t="s">
        <v>510</v>
      </c>
      <c r="I41" s="13">
        <v>10.655301333333334</v>
      </c>
      <c r="J41" s="26" t="s">
        <v>840</v>
      </c>
      <c r="K41" s="13" t="s">
        <v>831</v>
      </c>
      <c r="L41" s="24">
        <v>11239.949427966101</v>
      </c>
      <c r="M41" s="24">
        <v>127.86361599999999</v>
      </c>
      <c r="N41" s="24">
        <v>14159.72739426</v>
      </c>
    </row>
    <row r="42" spans="6:14">
      <c r="F42" s="12">
        <v>39</v>
      </c>
      <c r="G42" s="12">
        <v>310970</v>
      </c>
      <c r="H42" s="22" t="s">
        <v>309</v>
      </c>
      <c r="I42" s="13">
        <v>10.335728666666668</v>
      </c>
      <c r="J42" s="26" t="s">
        <v>840</v>
      </c>
      <c r="K42" s="13" t="s">
        <v>828</v>
      </c>
      <c r="L42" s="24">
        <v>13966.867309322035</v>
      </c>
      <c r="M42" s="24">
        <v>124.028744</v>
      </c>
      <c r="N42" s="24">
        <v>17050.983584000001</v>
      </c>
    </row>
    <row r="43" spans="6:14">
      <c r="F43" s="12">
        <v>40</v>
      </c>
      <c r="G43" s="12">
        <v>148020</v>
      </c>
      <c r="H43" s="22" t="s">
        <v>218</v>
      </c>
      <c r="I43" s="13">
        <v>9.8987960000000008</v>
      </c>
      <c r="J43" s="26" t="s">
        <v>840</v>
      </c>
      <c r="K43" s="13" t="s">
        <v>837</v>
      </c>
      <c r="L43" s="24">
        <v>33298.022754237289</v>
      </c>
      <c r="M43" s="24">
        <v>118.785552</v>
      </c>
      <c r="N43" s="24">
        <v>39500.434764240003</v>
      </c>
    </row>
    <row r="44" spans="6:14">
      <c r="F44" s="12">
        <v>41</v>
      </c>
      <c r="G44" s="12">
        <v>139230</v>
      </c>
      <c r="H44" s="22" t="s">
        <v>35</v>
      </c>
      <c r="I44" s="13">
        <v>9.7532865000000015</v>
      </c>
      <c r="J44" s="26" t="s">
        <v>848</v>
      </c>
      <c r="K44" s="13" t="s">
        <v>828</v>
      </c>
      <c r="L44" s="24">
        <v>3363.2235805084747</v>
      </c>
      <c r="M44" s="24">
        <v>117.039438</v>
      </c>
      <c r="N44" s="24">
        <v>4098.29310644</v>
      </c>
    </row>
    <row r="45" spans="6:14">
      <c r="F45" s="12">
        <v>42</v>
      </c>
      <c r="G45" s="12">
        <v>422420</v>
      </c>
      <c r="H45" s="22" t="s">
        <v>37</v>
      </c>
      <c r="I45" s="13">
        <v>9.5080143333333336</v>
      </c>
      <c r="J45" s="26" t="s">
        <v>848</v>
      </c>
      <c r="K45" s="13" t="s">
        <v>837</v>
      </c>
      <c r="L45" s="24">
        <v>11993.214131355933</v>
      </c>
      <c r="M45" s="24">
        <v>114.096172</v>
      </c>
      <c r="N45" s="24">
        <v>14585.89683455</v>
      </c>
    </row>
    <row r="46" spans="6:14">
      <c r="F46" s="12">
        <v>43</v>
      </c>
      <c r="G46" s="12">
        <v>261260</v>
      </c>
      <c r="H46" s="22" t="s">
        <v>503</v>
      </c>
      <c r="I46" s="13">
        <v>9.3727568333333338</v>
      </c>
      <c r="J46" s="26" t="s">
        <v>850</v>
      </c>
      <c r="K46" s="13" t="s">
        <v>831</v>
      </c>
      <c r="L46" s="24">
        <v>6868.6042584745765</v>
      </c>
      <c r="M46" s="24">
        <v>112.47308200000001</v>
      </c>
      <c r="N46" s="24">
        <v>7681.5752490499999</v>
      </c>
    </row>
    <row r="47" spans="6:14">
      <c r="F47" s="12">
        <v>44</v>
      </c>
      <c r="G47" s="12">
        <v>446720</v>
      </c>
      <c r="H47" s="22" t="s">
        <v>396</v>
      </c>
      <c r="I47" s="13">
        <v>9.3280383333333337</v>
      </c>
      <c r="J47" s="26" t="s">
        <v>843</v>
      </c>
      <c r="K47" s="13" t="s">
        <v>844</v>
      </c>
      <c r="L47" s="24">
        <v>9354.0782203389826</v>
      </c>
      <c r="M47" s="24">
        <v>111.93646</v>
      </c>
      <c r="N47" s="24">
        <v>10465.639430900001</v>
      </c>
    </row>
    <row r="48" spans="6:14">
      <c r="F48" s="12">
        <v>45</v>
      </c>
      <c r="G48" s="12">
        <v>228800</v>
      </c>
      <c r="H48" s="22" t="s">
        <v>140</v>
      </c>
      <c r="I48" s="13">
        <v>9.3052150000000005</v>
      </c>
      <c r="J48" s="26" t="s">
        <v>845</v>
      </c>
      <c r="K48" s="13" t="s">
        <v>828</v>
      </c>
      <c r="L48" s="24">
        <v>3868.968220338983</v>
      </c>
      <c r="M48" s="24">
        <v>111.66258000000001</v>
      </c>
      <c r="N48" s="24">
        <v>4372.53939515</v>
      </c>
    </row>
    <row r="49" spans="6:14">
      <c r="F49" s="12">
        <v>46</v>
      </c>
      <c r="G49" s="12">
        <v>459580</v>
      </c>
      <c r="H49" s="22" t="s">
        <v>424</v>
      </c>
      <c r="I49" s="13">
        <v>8.9638714166666684</v>
      </c>
      <c r="J49" s="26" t="s">
        <v>857</v>
      </c>
      <c r="K49" s="13" t="s">
        <v>831</v>
      </c>
      <c r="L49" s="24">
        <v>1010702.8984351144</v>
      </c>
      <c r="M49" s="24">
        <v>107.566457</v>
      </c>
      <c r="N49" s="24">
        <v>1085598.8314526</v>
      </c>
    </row>
    <row r="50" spans="6:14">
      <c r="F50" s="12">
        <v>47</v>
      </c>
      <c r="G50" s="12">
        <v>372330</v>
      </c>
      <c r="H50" s="22" t="s">
        <v>204</v>
      </c>
      <c r="I50" s="13">
        <v>8.7089539166666672</v>
      </c>
      <c r="J50" s="26" t="s">
        <v>853</v>
      </c>
      <c r="K50" s="13" t="s">
        <v>831</v>
      </c>
      <c r="L50" s="24">
        <v>5885.657733050848</v>
      </c>
      <c r="M50" s="24">
        <v>104.507447</v>
      </c>
      <c r="N50" s="24">
        <v>6191.9741883999995</v>
      </c>
    </row>
    <row r="51" spans="6:14">
      <c r="F51" s="12">
        <v>48</v>
      </c>
      <c r="G51" s="12">
        <v>91160</v>
      </c>
      <c r="H51" s="22" t="s">
        <v>384</v>
      </c>
      <c r="I51" s="13">
        <v>8.1747080833333339</v>
      </c>
      <c r="J51" s="26" t="s">
        <v>848</v>
      </c>
      <c r="K51" s="13" t="s">
        <v>831</v>
      </c>
      <c r="L51" s="24">
        <v>30138.098495762712</v>
      </c>
      <c r="M51" s="24">
        <v>98.096496999999999</v>
      </c>
      <c r="N51" s="24">
        <v>30941.57273996</v>
      </c>
    </row>
    <row r="52" spans="6:14">
      <c r="F52" s="12">
        <v>49</v>
      </c>
      <c r="G52" s="12">
        <v>464930</v>
      </c>
      <c r="H52" s="22" t="s">
        <v>275</v>
      </c>
      <c r="I52" s="13">
        <v>7.5948337500000012</v>
      </c>
      <c r="J52" s="26" t="s">
        <v>843</v>
      </c>
      <c r="K52" s="13" t="s">
        <v>828</v>
      </c>
      <c r="L52" s="24">
        <v>10035.670067567567</v>
      </c>
      <c r="M52" s="24">
        <v>91.138005000000007</v>
      </c>
      <c r="N52" s="24">
        <v>9172.6098655999995</v>
      </c>
    </row>
    <row r="53" spans="6:14">
      <c r="F53" s="12">
        <v>50</v>
      </c>
      <c r="G53" s="12">
        <v>261220</v>
      </c>
      <c r="H53" s="22" t="s">
        <v>392</v>
      </c>
      <c r="I53" s="13">
        <v>7.3576661666666681</v>
      </c>
      <c r="J53" s="26" t="s">
        <v>829</v>
      </c>
      <c r="K53" s="13" t="s">
        <v>831</v>
      </c>
      <c r="L53" s="24">
        <v>14246.206567796609</v>
      </c>
      <c r="M53" s="24">
        <v>88.291994000000003</v>
      </c>
      <c r="N53" s="24">
        <v>12142.32926065</v>
      </c>
    </row>
    <row r="54" spans="6:14">
      <c r="F54" s="12">
        <v>51</v>
      </c>
      <c r="G54" s="12">
        <v>294400</v>
      </c>
      <c r="H54" s="22" t="s">
        <v>792</v>
      </c>
      <c r="I54" s="13">
        <v>7.2692128333333343</v>
      </c>
      <c r="J54" s="26" t="s">
        <v>840</v>
      </c>
      <c r="K54" s="13" t="s">
        <v>855</v>
      </c>
      <c r="L54" s="24">
        <v>40884.130296610172</v>
      </c>
      <c r="M54" s="24">
        <v>87.230553999999998</v>
      </c>
      <c r="N54" s="24">
        <v>36615.485300799999</v>
      </c>
    </row>
    <row r="55" spans="6:14">
      <c r="F55" s="12">
        <v>52</v>
      </c>
      <c r="G55" s="12">
        <v>402970</v>
      </c>
      <c r="H55" s="22" t="s">
        <v>720</v>
      </c>
      <c r="I55" s="13">
        <v>7.2044667500000008</v>
      </c>
      <c r="J55" s="26" t="s">
        <v>843</v>
      </c>
      <c r="K55" s="13" t="s">
        <v>839</v>
      </c>
      <c r="L55" s="24">
        <v>10372.790826271188</v>
      </c>
      <c r="M55" s="24">
        <v>86.453601000000006</v>
      </c>
      <c r="N55" s="24">
        <v>8981.3480861499993</v>
      </c>
    </row>
    <row r="56" spans="6:14">
      <c r="F56" s="12">
        <v>53</v>
      </c>
      <c r="G56" s="12">
        <v>91170</v>
      </c>
      <c r="H56" s="22" t="s">
        <v>251</v>
      </c>
      <c r="I56" s="13">
        <v>6.8943510000000012</v>
      </c>
      <c r="J56" s="26" t="s">
        <v>848</v>
      </c>
      <c r="K56" s="13" t="s">
        <v>831</v>
      </c>
      <c r="L56" s="24">
        <v>6319.569216101695</v>
      </c>
      <c r="M56" s="24">
        <v>82.732212000000004</v>
      </c>
      <c r="N56" s="24">
        <v>5280.73732741</v>
      </c>
    </row>
    <row r="57" spans="6:14">
      <c r="F57" s="12">
        <v>54</v>
      </c>
      <c r="G57" s="12">
        <v>143850</v>
      </c>
      <c r="H57" s="22" t="s">
        <v>405</v>
      </c>
      <c r="I57" s="13">
        <v>6.8856972500000007</v>
      </c>
      <c r="J57" s="26" t="s">
        <v>832</v>
      </c>
      <c r="K57" s="13" t="s">
        <v>828</v>
      </c>
      <c r="L57" s="24">
        <v>48899.702542372885</v>
      </c>
      <c r="M57" s="24">
        <v>82.628366999999997</v>
      </c>
      <c r="N57" s="24">
        <v>40599.53186535</v>
      </c>
    </row>
    <row r="58" spans="6:14">
      <c r="F58" s="12">
        <v>55</v>
      </c>
      <c r="G58" s="12">
        <v>457480</v>
      </c>
      <c r="H58" s="22" t="s">
        <v>606</v>
      </c>
      <c r="I58" s="13">
        <v>6.5845361666666671</v>
      </c>
      <c r="J58" s="26" t="s">
        <v>843</v>
      </c>
      <c r="K58" s="13" t="s">
        <v>839</v>
      </c>
      <c r="L58" s="24">
        <v>11979.414344827586</v>
      </c>
      <c r="M58" s="24">
        <v>79.014433999999994</v>
      </c>
      <c r="N58" s="24">
        <v>9738.9458174499996</v>
      </c>
    </row>
    <row r="59" spans="6:14">
      <c r="F59" s="12">
        <v>56</v>
      </c>
      <c r="G59" s="12">
        <v>329200</v>
      </c>
      <c r="H59" s="22" t="s">
        <v>519</v>
      </c>
      <c r="I59" s="13">
        <v>6.5136986666666674</v>
      </c>
      <c r="J59" s="26" t="s">
        <v>845</v>
      </c>
      <c r="K59" s="13" t="s">
        <v>828</v>
      </c>
      <c r="L59" s="24">
        <v>4550.5022669491518</v>
      </c>
      <c r="M59" s="24">
        <v>78.164383999999998</v>
      </c>
      <c r="N59" s="24">
        <v>3542.3436621999999</v>
      </c>
    </row>
    <row r="60" spans="6:14">
      <c r="F60" s="12">
        <v>57</v>
      </c>
      <c r="G60" s="12">
        <v>244580</v>
      </c>
      <c r="H60" s="22" t="s">
        <v>310</v>
      </c>
      <c r="I60" s="13">
        <v>6.3076421666666667</v>
      </c>
      <c r="J60" s="26" t="s">
        <v>845</v>
      </c>
      <c r="K60" s="13" t="s">
        <v>831</v>
      </c>
      <c r="L60" s="24">
        <v>7838.6066949152537</v>
      </c>
      <c r="M60" s="24">
        <v>75.691705999999996</v>
      </c>
      <c r="N60" s="24">
        <v>6035.6221477500003</v>
      </c>
    </row>
    <row r="61" spans="6:14">
      <c r="F61" s="12">
        <v>58</v>
      </c>
      <c r="G61" s="12">
        <v>214980</v>
      </c>
      <c r="H61" s="22" t="s">
        <v>495</v>
      </c>
      <c r="I61" s="13">
        <v>6.2285541666666671</v>
      </c>
      <c r="J61" s="26" t="s">
        <v>835</v>
      </c>
      <c r="K61" s="13" t="s">
        <v>831</v>
      </c>
      <c r="L61" s="24">
        <v>106929.51148305085</v>
      </c>
      <c r="M61" s="24">
        <v>74.742649999999998</v>
      </c>
      <c r="N61" s="24">
        <v>79563.550458750004</v>
      </c>
    </row>
    <row r="62" spans="6:14">
      <c r="F62" s="12">
        <v>59</v>
      </c>
      <c r="G62" s="12">
        <v>357870</v>
      </c>
      <c r="H62" s="22" t="s">
        <v>365</v>
      </c>
      <c r="I62" s="13">
        <v>6.1696872500000008</v>
      </c>
      <c r="J62" s="26" t="s">
        <v>857</v>
      </c>
      <c r="K62" s="13" t="s">
        <v>828</v>
      </c>
      <c r="L62" s="24">
        <v>52575.520148305091</v>
      </c>
      <c r="M62" s="24">
        <v>74.036247000000003</v>
      </c>
      <c r="N62" s="24">
        <v>38815.143213800002</v>
      </c>
    </row>
    <row r="63" spans="6:14">
      <c r="F63" s="12">
        <v>60</v>
      </c>
      <c r="G63" s="12">
        <v>364970</v>
      </c>
      <c r="H63" s="22" t="s">
        <v>529</v>
      </c>
      <c r="I63" s="13">
        <v>5.7458110833333338</v>
      </c>
      <c r="J63" s="26" t="s">
        <v>848</v>
      </c>
      <c r="K63" s="13" t="s">
        <v>828</v>
      </c>
      <c r="L63" s="24">
        <v>5786.1298940677971</v>
      </c>
      <c r="M63" s="24">
        <v>68.949732999999995</v>
      </c>
      <c r="N63" s="24">
        <v>4027.8314606700001</v>
      </c>
    </row>
    <row r="64" spans="6:14">
      <c r="F64" s="12">
        <v>61</v>
      </c>
      <c r="G64" s="12">
        <v>292560</v>
      </c>
      <c r="H64" s="22" t="s">
        <v>199</v>
      </c>
      <c r="I64" s="13">
        <v>5.6459280000000005</v>
      </c>
      <c r="J64" s="26" t="s">
        <v>850</v>
      </c>
      <c r="K64" s="13" t="s">
        <v>828</v>
      </c>
      <c r="L64" s="24">
        <v>9007.2144491525414</v>
      </c>
      <c r="M64" s="24">
        <v>67.751136000000002</v>
      </c>
      <c r="N64" s="24">
        <v>5930.4458737000004</v>
      </c>
    </row>
    <row r="65" spans="6:14">
      <c r="F65" s="12">
        <v>62</v>
      </c>
      <c r="G65" s="12">
        <v>102780</v>
      </c>
      <c r="H65" s="22" t="s">
        <v>318</v>
      </c>
      <c r="I65" s="13">
        <v>5.6206665000000013</v>
      </c>
      <c r="J65" s="26" t="s">
        <v>858</v>
      </c>
      <c r="K65" s="13" t="s">
        <v>831</v>
      </c>
      <c r="L65" s="24">
        <v>9069.8413983050832</v>
      </c>
      <c r="M65" s="24">
        <v>67.447997999999998</v>
      </c>
      <c r="N65" s="24">
        <v>6156.35175772</v>
      </c>
    </row>
    <row r="66" spans="6:14">
      <c r="F66" s="12">
        <v>63</v>
      </c>
      <c r="G66" s="12">
        <v>441640</v>
      </c>
      <c r="H66" s="22" t="s">
        <v>196</v>
      </c>
      <c r="I66" s="13">
        <v>5.5330060833333343</v>
      </c>
      <c r="J66" s="26" t="s">
        <v>832</v>
      </c>
      <c r="K66" s="13" t="s">
        <v>831</v>
      </c>
      <c r="L66" s="24">
        <v>9877.8779237288127</v>
      </c>
      <c r="M66" s="24">
        <v>66.396073000000001</v>
      </c>
      <c r="N66" s="24">
        <v>6530.98388015</v>
      </c>
    </row>
    <row r="67" spans="6:14">
      <c r="F67" s="12">
        <v>64</v>
      </c>
      <c r="G67" s="12">
        <v>217770</v>
      </c>
      <c r="H67" s="22" t="s">
        <v>724</v>
      </c>
      <c r="I67" s="13">
        <v>5.446567916666667</v>
      </c>
      <c r="J67" s="26" t="s">
        <v>829</v>
      </c>
      <c r="K67" s="13" t="s">
        <v>828</v>
      </c>
      <c r="L67" s="24">
        <v>3224.0626059322035</v>
      </c>
      <c r="M67" s="24">
        <v>65.358815000000007</v>
      </c>
      <c r="N67" s="24">
        <v>2149.8493533999999</v>
      </c>
    </row>
    <row r="68" spans="6:14">
      <c r="F68" s="12">
        <v>65</v>
      </c>
      <c r="G68" s="12">
        <v>465580</v>
      </c>
      <c r="H68" s="22" t="s">
        <v>590</v>
      </c>
      <c r="I68" s="13">
        <v>5.2122845</v>
      </c>
      <c r="J68" s="26" t="s">
        <v>853</v>
      </c>
      <c r="K68" s="13" t="s">
        <v>839</v>
      </c>
      <c r="L68" s="24">
        <v>9999.9600781249992</v>
      </c>
      <c r="M68" s="24">
        <v>62.547414000000003</v>
      </c>
      <c r="N68" s="24">
        <v>6277.3956178500002</v>
      </c>
    </row>
    <row r="69" spans="6:14">
      <c r="F69" s="12">
        <v>66</v>
      </c>
      <c r="G69" s="12">
        <v>458730</v>
      </c>
      <c r="H69" s="22" t="s">
        <v>428</v>
      </c>
      <c r="I69" s="13">
        <v>4.8418227500000013</v>
      </c>
      <c r="J69" s="26" t="s">
        <v>843</v>
      </c>
      <c r="K69" s="13" t="s">
        <v>828</v>
      </c>
      <c r="L69" s="24">
        <v>10184.809756097562</v>
      </c>
      <c r="M69" s="24">
        <v>58.101872999999998</v>
      </c>
      <c r="N69" s="24">
        <v>5904.4237784999996</v>
      </c>
    </row>
    <row r="70" spans="6:14">
      <c r="F70" s="12">
        <v>67</v>
      </c>
      <c r="G70" s="12">
        <v>91180</v>
      </c>
      <c r="H70" s="22" t="s">
        <v>72</v>
      </c>
      <c r="I70" s="13">
        <v>4.8142588333333336</v>
      </c>
      <c r="J70" s="26" t="s">
        <v>848</v>
      </c>
      <c r="K70" s="13" t="s">
        <v>831</v>
      </c>
      <c r="L70" s="24">
        <v>18104.403495762712</v>
      </c>
      <c r="M70" s="24">
        <v>57.771106000000003</v>
      </c>
      <c r="N70" s="24">
        <v>10603.60229458</v>
      </c>
    </row>
    <row r="71" spans="6:14">
      <c r="F71" s="12">
        <v>68</v>
      </c>
      <c r="G71" s="12">
        <v>379800</v>
      </c>
      <c r="H71" s="22" t="s">
        <v>546</v>
      </c>
      <c r="I71" s="13">
        <v>4.7339967500000011</v>
      </c>
      <c r="J71" s="26" t="s">
        <v>832</v>
      </c>
      <c r="K71" s="13" t="s">
        <v>831</v>
      </c>
      <c r="L71" s="24">
        <v>12523.418961864407</v>
      </c>
      <c r="M71" s="24">
        <v>56.807960999999999</v>
      </c>
      <c r="N71" s="24">
        <v>7126.8566004000004</v>
      </c>
    </row>
    <row r="72" spans="6:14">
      <c r="F72" s="12">
        <v>69</v>
      </c>
      <c r="G72" s="12">
        <v>192090</v>
      </c>
      <c r="H72" s="22" t="s">
        <v>112</v>
      </c>
      <c r="I72" s="13">
        <v>4.6864334166666666</v>
      </c>
      <c r="J72" s="26" t="s">
        <v>832</v>
      </c>
      <c r="K72" s="13" t="s">
        <v>828</v>
      </c>
      <c r="L72" s="24">
        <v>9386.1746822033911</v>
      </c>
      <c r="M72" s="24">
        <v>56.237200999999999</v>
      </c>
      <c r="N72" s="24">
        <v>5359.5081178500004</v>
      </c>
    </row>
    <row r="73" spans="6:14">
      <c r="F73" s="12">
        <v>70</v>
      </c>
      <c r="G73" s="12">
        <v>400970</v>
      </c>
      <c r="H73" s="22" t="s">
        <v>377</v>
      </c>
      <c r="I73" s="13">
        <v>4.6333531666666667</v>
      </c>
      <c r="J73" s="26" t="s">
        <v>848</v>
      </c>
      <c r="K73" s="13" t="s">
        <v>828</v>
      </c>
      <c r="L73" s="24">
        <v>8206.2120762711875</v>
      </c>
      <c r="M73" s="24">
        <v>55.600237999999997</v>
      </c>
      <c r="N73" s="24">
        <v>4554.5901858500001</v>
      </c>
    </row>
    <row r="74" spans="6:14">
      <c r="F74" s="12">
        <v>71</v>
      </c>
      <c r="G74" s="12">
        <v>445290</v>
      </c>
      <c r="H74" s="22" t="s">
        <v>354</v>
      </c>
      <c r="I74" s="13">
        <v>4.6070029166666666</v>
      </c>
      <c r="J74" s="26" t="s">
        <v>845</v>
      </c>
      <c r="K74" s="13" t="s">
        <v>831</v>
      </c>
      <c r="L74" s="24">
        <v>13022.059300847459</v>
      </c>
      <c r="M74" s="24">
        <v>55.284035000000003</v>
      </c>
      <c r="N74" s="24">
        <v>7507.0060296299998</v>
      </c>
    </row>
    <row r="75" spans="6:14">
      <c r="F75" s="12">
        <v>72</v>
      </c>
      <c r="G75" s="12">
        <v>144600</v>
      </c>
      <c r="H75" s="22" t="s">
        <v>116</v>
      </c>
      <c r="I75" s="13">
        <v>4.5962962500000009</v>
      </c>
      <c r="J75" s="26" t="s">
        <v>829</v>
      </c>
      <c r="K75" s="13" t="s">
        <v>831</v>
      </c>
      <c r="L75" s="24">
        <v>4544.268241525423</v>
      </c>
      <c r="M75" s="24">
        <v>55.155555</v>
      </c>
      <c r="N75" s="24">
        <v>2512.8448009499998</v>
      </c>
    </row>
    <row r="76" spans="6:14">
      <c r="F76" s="12">
        <v>73</v>
      </c>
      <c r="G76" s="12">
        <v>272580</v>
      </c>
      <c r="H76" s="22" t="s">
        <v>273</v>
      </c>
      <c r="I76" s="13">
        <v>4.55863</v>
      </c>
      <c r="J76" s="26" t="s">
        <v>835</v>
      </c>
      <c r="K76" s="13" t="s">
        <v>828</v>
      </c>
      <c r="L76" s="24">
        <v>52138.583771186437</v>
      </c>
      <c r="M76" s="24">
        <v>54.703560000000003</v>
      </c>
      <c r="N76" s="24">
        <v>28353.50648955</v>
      </c>
    </row>
    <row r="77" spans="6:14">
      <c r="F77" s="12">
        <v>74</v>
      </c>
      <c r="G77" s="12">
        <v>232080</v>
      </c>
      <c r="H77" s="22" t="s">
        <v>200</v>
      </c>
      <c r="I77" s="13">
        <v>4.4471319999999999</v>
      </c>
      <c r="J77" s="26" t="s">
        <v>840</v>
      </c>
      <c r="K77" s="13" t="s">
        <v>828</v>
      </c>
      <c r="L77" s="24">
        <v>13132.096249999999</v>
      </c>
      <c r="M77" s="24">
        <v>53.365583999999998</v>
      </c>
      <c r="N77" s="24">
        <v>6735.1499712499999</v>
      </c>
    </row>
    <row r="78" spans="6:14">
      <c r="F78" s="12">
        <v>75</v>
      </c>
      <c r="G78" s="12">
        <v>438320</v>
      </c>
      <c r="H78" s="22" t="s">
        <v>373</v>
      </c>
      <c r="I78" s="13">
        <v>4.4367568333333338</v>
      </c>
      <c r="J78" s="26" t="s">
        <v>843</v>
      </c>
      <c r="K78" s="13" t="s">
        <v>828</v>
      </c>
      <c r="L78" s="24">
        <v>7669.5041313559323</v>
      </c>
      <c r="M78" s="24">
        <v>53.241081999999999</v>
      </c>
      <c r="N78" s="24">
        <v>4252.2989009000003</v>
      </c>
    </row>
    <row r="79" spans="6:14">
      <c r="F79" s="12">
        <v>76</v>
      </c>
      <c r="G79" s="12">
        <v>412570</v>
      </c>
      <c r="H79" s="22" t="s">
        <v>410</v>
      </c>
      <c r="I79" s="13">
        <v>4.2247127500000001</v>
      </c>
      <c r="J79" s="26" t="s">
        <v>848</v>
      </c>
      <c r="K79" s="13" t="s">
        <v>828</v>
      </c>
      <c r="L79" s="24">
        <v>8564.9034533898302</v>
      </c>
      <c r="M79" s="24">
        <v>50.696553000000002</v>
      </c>
      <c r="N79" s="24">
        <v>3932.9014184500002</v>
      </c>
    </row>
    <row r="80" spans="6:14">
      <c r="F80" s="12">
        <v>77</v>
      </c>
      <c r="G80" s="12">
        <v>379810</v>
      </c>
      <c r="H80" s="22" t="s">
        <v>682</v>
      </c>
      <c r="I80" s="13">
        <v>4.1383540000000005</v>
      </c>
      <c r="J80" s="26" t="s">
        <v>832</v>
      </c>
      <c r="K80" s="13" t="s">
        <v>831</v>
      </c>
      <c r="L80" s="24">
        <v>12197.79966101695</v>
      </c>
      <c r="M80" s="24">
        <v>49.660248000000003</v>
      </c>
      <c r="N80" s="24">
        <v>6091.7430793000003</v>
      </c>
    </row>
    <row r="81" spans="6:14">
      <c r="F81" s="12">
        <v>78</v>
      </c>
      <c r="G81" s="12">
        <v>469170</v>
      </c>
      <c r="H81" s="22" t="s">
        <v>776</v>
      </c>
      <c r="I81" s="13">
        <v>3.9892971666666668</v>
      </c>
      <c r="J81" s="26" t="s">
        <v>838</v>
      </c>
      <c r="K81" s="13" t="s">
        <v>839</v>
      </c>
      <c r="L81" s="24">
        <v>8119.7544318181817</v>
      </c>
      <c r="M81" s="24">
        <v>47.871566000000001</v>
      </c>
      <c r="N81" s="24">
        <v>3838.5028780500002</v>
      </c>
    </row>
    <row r="82" spans="6:14">
      <c r="F82" s="12">
        <v>79</v>
      </c>
      <c r="G82" s="12">
        <v>245710</v>
      </c>
      <c r="H82" s="22" t="s">
        <v>465</v>
      </c>
      <c r="I82" s="13">
        <v>3.9748500000000004</v>
      </c>
      <c r="J82" s="26" t="s">
        <v>832</v>
      </c>
      <c r="K82" s="13" t="s">
        <v>839</v>
      </c>
      <c r="L82" s="24">
        <v>17564.042542372881</v>
      </c>
      <c r="M82" s="24">
        <v>47.6982</v>
      </c>
      <c r="N82" s="24">
        <v>8322.2686313499999</v>
      </c>
    </row>
    <row r="83" spans="6:14">
      <c r="F83" s="12">
        <v>80</v>
      </c>
      <c r="G83" s="12">
        <v>452360</v>
      </c>
      <c r="H83" s="22" t="s">
        <v>284</v>
      </c>
      <c r="I83" s="13">
        <v>3.974418916666667</v>
      </c>
      <c r="J83" s="26" t="s">
        <v>843</v>
      </c>
      <c r="K83" s="13" t="s">
        <v>844</v>
      </c>
      <c r="L83" s="24">
        <v>10181.532868852459</v>
      </c>
      <c r="M83" s="24">
        <v>47.693027000000001</v>
      </c>
      <c r="N83" s="24">
        <v>4855.7975226999997</v>
      </c>
    </row>
    <row r="84" spans="6:14">
      <c r="F84" s="12">
        <v>81</v>
      </c>
      <c r="G84" s="12">
        <v>304940</v>
      </c>
      <c r="H84" s="22" t="s">
        <v>211</v>
      </c>
      <c r="I84" s="13">
        <v>3.9733690833333335</v>
      </c>
      <c r="J84" s="26" t="s">
        <v>854</v>
      </c>
      <c r="K84" s="13" t="s">
        <v>831</v>
      </c>
      <c r="L84" s="24">
        <v>17198.881822033898</v>
      </c>
      <c r="M84" s="24">
        <v>47.680428999999997</v>
      </c>
      <c r="N84" s="24">
        <v>7603.5112795499999</v>
      </c>
    </row>
    <row r="85" spans="6:14">
      <c r="F85" s="12">
        <v>82</v>
      </c>
      <c r="G85" s="12">
        <v>139220</v>
      </c>
      <c r="H85" s="22" t="s">
        <v>742</v>
      </c>
      <c r="I85" s="13">
        <v>3.9577228333333339</v>
      </c>
      <c r="J85" s="26" t="s">
        <v>848</v>
      </c>
      <c r="K85" s="13" t="s">
        <v>828</v>
      </c>
      <c r="L85" s="24">
        <v>3087.398940677966</v>
      </c>
      <c r="M85" s="24">
        <v>47.492674000000001</v>
      </c>
      <c r="N85" s="24">
        <v>1544.8771101699999</v>
      </c>
    </row>
    <row r="86" spans="6:14">
      <c r="F86" s="12">
        <v>83</v>
      </c>
      <c r="G86" s="12">
        <v>458760</v>
      </c>
      <c r="H86" s="22" t="s">
        <v>699</v>
      </c>
      <c r="I86" s="13">
        <v>3.9516511666666672</v>
      </c>
      <c r="J86" s="26" t="s">
        <v>854</v>
      </c>
      <c r="K86" s="13" t="s">
        <v>828</v>
      </c>
      <c r="L86" s="24">
        <v>9992.3338211382124</v>
      </c>
      <c r="M86" s="24">
        <v>47.419814000000002</v>
      </c>
      <c r="N86" s="24">
        <v>4713.2396552999999</v>
      </c>
    </row>
    <row r="87" spans="6:14">
      <c r="F87" s="12">
        <v>84</v>
      </c>
      <c r="G87" s="12">
        <v>360200</v>
      </c>
      <c r="H87" s="22" t="s">
        <v>432</v>
      </c>
      <c r="I87" s="13">
        <v>3.8994982500000006</v>
      </c>
      <c r="J87" s="26" t="s">
        <v>832</v>
      </c>
      <c r="K87" s="13" t="s">
        <v>839</v>
      </c>
      <c r="L87" s="24">
        <v>14106.560741525424</v>
      </c>
      <c r="M87" s="24">
        <v>46.793979</v>
      </c>
      <c r="N87" s="24">
        <v>6661.5598243499999</v>
      </c>
    </row>
    <row r="88" spans="6:14">
      <c r="F88" s="12">
        <v>85</v>
      </c>
      <c r="G88" s="12">
        <v>456600</v>
      </c>
      <c r="H88" s="22" t="s">
        <v>497</v>
      </c>
      <c r="I88" s="13">
        <v>3.8777537500000006</v>
      </c>
      <c r="J88" s="26" t="s">
        <v>853</v>
      </c>
      <c r="K88" s="13" t="s">
        <v>866</v>
      </c>
      <c r="L88" s="24">
        <v>12900.798448275862</v>
      </c>
      <c r="M88" s="24">
        <v>46.533045000000001</v>
      </c>
      <c r="N88" s="24">
        <v>6024.7493101500004</v>
      </c>
    </row>
    <row r="89" spans="6:14">
      <c r="F89" s="12">
        <v>86</v>
      </c>
      <c r="G89" s="12">
        <v>441680</v>
      </c>
      <c r="H89" s="22" t="s">
        <v>741</v>
      </c>
      <c r="I89" s="13">
        <v>3.8347373333333334</v>
      </c>
      <c r="J89" s="26" t="s">
        <v>850</v>
      </c>
      <c r="K89" s="13" t="s">
        <v>828</v>
      </c>
      <c r="L89" s="24">
        <v>9807.3606144067799</v>
      </c>
      <c r="M89" s="24">
        <v>46.016848000000003</v>
      </c>
      <c r="N89" s="24">
        <v>4553.6600783499998</v>
      </c>
    </row>
    <row r="90" spans="6:14">
      <c r="F90" s="12">
        <v>87</v>
      </c>
      <c r="G90" s="12">
        <v>130680</v>
      </c>
      <c r="H90" s="22" t="s">
        <v>580</v>
      </c>
      <c r="I90" s="13">
        <v>3.7761298333333335</v>
      </c>
      <c r="J90" s="26" t="s">
        <v>829</v>
      </c>
      <c r="K90" s="13" t="s">
        <v>828</v>
      </c>
      <c r="L90" s="24">
        <v>4305.3527966101692</v>
      </c>
      <c r="M90" s="24">
        <v>45.313558</v>
      </c>
      <c r="N90" s="24">
        <v>1881.9205519499999</v>
      </c>
    </row>
    <row r="91" spans="6:14">
      <c r="F91" s="12">
        <v>88</v>
      </c>
      <c r="G91" s="12">
        <v>453870</v>
      </c>
      <c r="H91" s="22" t="s">
        <v>303</v>
      </c>
      <c r="I91" s="13">
        <v>3.5642983333333333</v>
      </c>
      <c r="J91" s="26" t="s">
        <v>854</v>
      </c>
      <c r="K91" s="13" t="s">
        <v>828</v>
      </c>
      <c r="L91" s="24">
        <v>10581.577272727272</v>
      </c>
      <c r="M91" s="24">
        <v>42.77158</v>
      </c>
      <c r="N91" s="24">
        <v>4473.5174907500004</v>
      </c>
    </row>
    <row r="92" spans="6:14">
      <c r="F92" s="12">
        <v>89</v>
      </c>
      <c r="G92" s="12">
        <v>152100</v>
      </c>
      <c r="H92" s="22" t="s">
        <v>209</v>
      </c>
      <c r="I92" s="13">
        <v>3.5437799166666668</v>
      </c>
      <c r="J92" s="26" t="s">
        <v>840</v>
      </c>
      <c r="K92" s="13" t="s">
        <v>842</v>
      </c>
      <c r="L92" s="24">
        <v>33666.394978813558</v>
      </c>
      <c r="M92" s="24">
        <v>42.525359000000002</v>
      </c>
      <c r="N92" s="24">
        <v>14238.727332590001</v>
      </c>
    </row>
    <row r="93" spans="6:14">
      <c r="F93" s="12">
        <v>90</v>
      </c>
      <c r="G93" s="12">
        <v>441540</v>
      </c>
      <c r="H93" s="22" t="s">
        <v>77</v>
      </c>
      <c r="I93" s="13">
        <v>3.5322700000000005</v>
      </c>
      <c r="J93" s="26" t="s">
        <v>845</v>
      </c>
      <c r="K93" s="13" t="s">
        <v>849</v>
      </c>
      <c r="L93" s="24">
        <v>10073.09190677966</v>
      </c>
      <c r="M93" s="24">
        <v>42.387239999999998</v>
      </c>
      <c r="N93" s="24">
        <v>4511.2956162700002</v>
      </c>
    </row>
    <row r="94" spans="6:14">
      <c r="F94" s="12">
        <v>91</v>
      </c>
      <c r="G94" s="12">
        <v>150460</v>
      </c>
      <c r="H94" s="22" t="s">
        <v>772</v>
      </c>
      <c r="I94" s="13">
        <v>3.5203247500000003</v>
      </c>
      <c r="J94" s="26" t="s">
        <v>845</v>
      </c>
      <c r="K94" s="13" t="s">
        <v>828</v>
      </c>
      <c r="L94" s="24">
        <v>6697.9080508474581</v>
      </c>
      <c r="M94" s="24">
        <v>42.243896999999997</v>
      </c>
      <c r="N94" s="24">
        <v>2851.5462688500002</v>
      </c>
    </row>
    <row r="95" spans="6:14">
      <c r="F95" s="12">
        <v>92</v>
      </c>
      <c r="G95" s="12">
        <v>395270</v>
      </c>
      <c r="H95" s="22" t="s">
        <v>438</v>
      </c>
      <c r="I95" s="13">
        <v>3.5186640000000007</v>
      </c>
      <c r="J95" s="26" t="s">
        <v>848</v>
      </c>
      <c r="K95" s="13" t="s">
        <v>849</v>
      </c>
      <c r="L95" s="24">
        <v>8738.4892584745758</v>
      </c>
      <c r="M95" s="24">
        <v>42.223967999999999</v>
      </c>
      <c r="N95" s="24">
        <v>3968.8072855</v>
      </c>
    </row>
    <row r="96" spans="6:14">
      <c r="F96" s="12">
        <v>93</v>
      </c>
      <c r="G96" s="12">
        <v>267770</v>
      </c>
      <c r="H96" s="22" t="s">
        <v>498</v>
      </c>
      <c r="I96" s="13">
        <v>3.5181948333333333</v>
      </c>
      <c r="J96" s="26" t="s">
        <v>861</v>
      </c>
      <c r="K96" s="13" t="s">
        <v>828</v>
      </c>
      <c r="L96" s="24">
        <v>12150.336631355931</v>
      </c>
      <c r="M96" s="24">
        <v>42.218338000000003</v>
      </c>
      <c r="N96" s="24">
        <v>5035.1753606499997</v>
      </c>
    </row>
    <row r="97" spans="6:14">
      <c r="F97" s="12">
        <v>94</v>
      </c>
      <c r="G97" s="12">
        <v>449450</v>
      </c>
      <c r="H97" s="22" t="s">
        <v>487</v>
      </c>
      <c r="I97" s="13">
        <v>3.5180428333333333</v>
      </c>
      <c r="J97" s="26" t="s">
        <v>845</v>
      </c>
      <c r="K97" s="13" t="s">
        <v>842</v>
      </c>
      <c r="L97" s="24">
        <v>11203.320236051502</v>
      </c>
      <c r="M97" s="24">
        <v>42.216513999999997</v>
      </c>
      <c r="N97" s="24">
        <v>4818.9847960699999</v>
      </c>
    </row>
    <row r="98" spans="6:14">
      <c r="F98" s="12">
        <v>95</v>
      </c>
      <c r="G98" s="12">
        <v>465330</v>
      </c>
      <c r="H98" s="22" t="s">
        <v>518</v>
      </c>
      <c r="I98" s="13">
        <v>3.5151768333333333</v>
      </c>
      <c r="J98" s="26" t="s">
        <v>848</v>
      </c>
      <c r="K98" s="13" t="s">
        <v>837</v>
      </c>
      <c r="L98" s="24">
        <v>16187.805</v>
      </c>
      <c r="M98" s="24">
        <v>42.182122</v>
      </c>
      <c r="N98" s="24">
        <v>6788.3943761999999</v>
      </c>
    </row>
    <row r="99" spans="6:14">
      <c r="F99" s="12">
        <v>96</v>
      </c>
      <c r="G99" s="12">
        <v>423160</v>
      </c>
      <c r="H99" s="22" t="s">
        <v>692</v>
      </c>
      <c r="I99" s="13">
        <v>3.4645541666666668</v>
      </c>
      <c r="J99" s="26" t="s">
        <v>857</v>
      </c>
      <c r="K99" s="13" t="s">
        <v>831</v>
      </c>
      <c r="L99" s="24">
        <v>103410.51199152542</v>
      </c>
      <c r="M99" s="24">
        <v>41.574649999999998</v>
      </c>
      <c r="N99" s="24">
        <v>42944.164034900001</v>
      </c>
    </row>
    <row r="100" spans="6:14">
      <c r="F100" s="12">
        <v>97</v>
      </c>
      <c r="G100" s="12">
        <v>233160</v>
      </c>
      <c r="H100" s="22" t="s">
        <v>213</v>
      </c>
      <c r="I100" s="13">
        <v>3.3234320000000004</v>
      </c>
      <c r="J100" s="26" t="s">
        <v>861</v>
      </c>
      <c r="K100" s="13" t="s">
        <v>828</v>
      </c>
      <c r="L100" s="24">
        <v>11312.994152542373</v>
      </c>
      <c r="M100" s="24">
        <v>39.881183999999998</v>
      </c>
      <c r="N100" s="24">
        <v>4469.9722424000001</v>
      </c>
    </row>
    <row r="101" spans="6:14">
      <c r="F101" s="12">
        <v>98</v>
      </c>
      <c r="G101" s="12">
        <v>117700</v>
      </c>
      <c r="H101" s="22" t="s">
        <v>453</v>
      </c>
      <c r="I101" s="13">
        <v>3.2695725833333333</v>
      </c>
      <c r="J101" s="26" t="s">
        <v>848</v>
      </c>
      <c r="K101" s="13" t="s">
        <v>831</v>
      </c>
      <c r="L101" s="24">
        <v>3359.4061440677965</v>
      </c>
      <c r="M101" s="24">
        <v>39.234870999999998</v>
      </c>
      <c r="N101" s="24">
        <v>1341.7614744499999</v>
      </c>
    </row>
    <row r="102" spans="6:14">
      <c r="F102" s="12">
        <v>99</v>
      </c>
      <c r="G102" s="12">
        <v>278540</v>
      </c>
      <c r="H102" s="22" t="s">
        <v>767</v>
      </c>
      <c r="I102" s="13">
        <v>3.2474324166666668</v>
      </c>
      <c r="J102" s="26" t="s">
        <v>840</v>
      </c>
      <c r="K102" s="13" t="s">
        <v>831</v>
      </c>
      <c r="L102" s="24">
        <v>11124.098622881356</v>
      </c>
      <c r="M102" s="24">
        <v>38.969189</v>
      </c>
      <c r="N102" s="24">
        <v>4257.4081399999995</v>
      </c>
    </row>
    <row r="103" spans="6:14">
      <c r="F103" s="12">
        <v>100</v>
      </c>
      <c r="G103" s="12">
        <v>283580</v>
      </c>
      <c r="H103" s="22" t="s">
        <v>135</v>
      </c>
      <c r="I103" s="13">
        <v>3.209386166666667</v>
      </c>
      <c r="J103" s="26" t="s">
        <v>832</v>
      </c>
      <c r="K103" s="13" t="s">
        <v>831</v>
      </c>
      <c r="L103" s="24">
        <v>11694.237966101695</v>
      </c>
      <c r="M103" s="24">
        <v>38.512633999999998</v>
      </c>
      <c r="N103" s="24">
        <v>4514.4191252000001</v>
      </c>
    </row>
    <row r="104" spans="6:14">
      <c r="F104" s="12">
        <v>101</v>
      </c>
      <c r="G104" s="12">
        <v>462900</v>
      </c>
      <c r="H104" s="22" t="s">
        <v>469</v>
      </c>
      <c r="I104" s="13">
        <v>3.1903844166666668</v>
      </c>
      <c r="J104" s="26" t="s">
        <v>848</v>
      </c>
      <c r="K104" s="13" t="s">
        <v>874</v>
      </c>
      <c r="L104" s="24">
        <v>10057.698791208792</v>
      </c>
      <c r="M104" s="24">
        <v>38.284613</v>
      </c>
      <c r="N104" s="24">
        <v>4000.70216643</v>
      </c>
    </row>
    <row r="105" spans="6:14">
      <c r="F105" s="12">
        <v>102</v>
      </c>
      <c r="G105" s="12">
        <v>161510</v>
      </c>
      <c r="H105" s="22" t="s">
        <v>486</v>
      </c>
      <c r="I105" s="13">
        <v>3.1647180833333337</v>
      </c>
      <c r="J105" s="26" t="s">
        <v>845</v>
      </c>
      <c r="K105" s="13" t="s">
        <v>842</v>
      </c>
      <c r="L105" s="24">
        <v>11726.448305084745</v>
      </c>
      <c r="M105" s="24">
        <v>37.976616999999997</v>
      </c>
      <c r="N105" s="24">
        <v>4476.1670541399999</v>
      </c>
    </row>
    <row r="106" spans="6:14">
      <c r="F106" s="12">
        <v>103</v>
      </c>
      <c r="G106" s="12">
        <v>471760</v>
      </c>
      <c r="H106" s="22" t="s">
        <v>133</v>
      </c>
      <c r="I106" s="13">
        <v>3.162680916666667</v>
      </c>
      <c r="J106" s="26" t="s">
        <v>848</v>
      </c>
      <c r="K106" s="13" t="s">
        <v>828</v>
      </c>
      <c r="L106" s="24">
        <v>9816.5218421052632</v>
      </c>
      <c r="M106" s="24">
        <v>37.952171</v>
      </c>
      <c r="N106" s="24">
        <v>3730.6084766499998</v>
      </c>
    </row>
    <row r="107" spans="6:14">
      <c r="F107" s="12">
        <v>104</v>
      </c>
      <c r="G107" s="12">
        <v>328370</v>
      </c>
      <c r="H107" s="22" t="s">
        <v>291</v>
      </c>
      <c r="I107" s="13">
        <v>3.1124320000000005</v>
      </c>
      <c r="J107" s="26" t="s">
        <v>840</v>
      </c>
      <c r="K107" s="13" t="s">
        <v>842</v>
      </c>
      <c r="L107" s="24">
        <v>13196.006673728814</v>
      </c>
      <c r="M107" s="24">
        <v>37.349184000000001</v>
      </c>
      <c r="N107" s="24">
        <v>4905.4276029100001</v>
      </c>
    </row>
    <row r="108" spans="6:14">
      <c r="F108" s="12">
        <v>105</v>
      </c>
      <c r="G108" s="12">
        <v>226490</v>
      </c>
      <c r="H108" s="22" t="s">
        <v>304</v>
      </c>
      <c r="I108" s="13">
        <v>3.0746969166666669</v>
      </c>
      <c r="J108" s="26" t="s">
        <v>840</v>
      </c>
      <c r="K108" s="13" t="s">
        <v>831</v>
      </c>
      <c r="L108" s="24">
        <v>25533.108220338981</v>
      </c>
      <c r="M108" s="24">
        <v>36.896363000000001</v>
      </c>
      <c r="N108" s="24">
        <v>9287.0870639799996</v>
      </c>
    </row>
    <row r="109" spans="6:14">
      <c r="F109" s="12">
        <v>106</v>
      </c>
      <c r="G109" s="12">
        <v>228810</v>
      </c>
      <c r="H109" s="22" t="s">
        <v>351</v>
      </c>
      <c r="I109" s="13">
        <v>3.0179321666666672</v>
      </c>
      <c r="J109" s="26" t="s">
        <v>845</v>
      </c>
      <c r="K109" s="13" t="s">
        <v>828</v>
      </c>
      <c r="L109" s="24">
        <v>6937.3793432203383</v>
      </c>
      <c r="M109" s="24">
        <v>36.215186000000003</v>
      </c>
      <c r="N109" s="24">
        <v>2575.8548617000001</v>
      </c>
    </row>
    <row r="110" spans="6:14">
      <c r="F110" s="12">
        <v>107</v>
      </c>
      <c r="G110" s="12">
        <v>132030</v>
      </c>
      <c r="H110" s="22" t="s">
        <v>42</v>
      </c>
      <c r="I110" s="13">
        <v>3.0067560000000007</v>
      </c>
      <c r="J110" s="26" t="s">
        <v>829</v>
      </c>
      <c r="K110" s="13" t="s">
        <v>831</v>
      </c>
      <c r="L110" s="24">
        <v>12542.748559322035</v>
      </c>
      <c r="M110" s="24">
        <v>36.081071999999999</v>
      </c>
      <c r="N110" s="24">
        <v>4567.2570517000004</v>
      </c>
    </row>
    <row r="111" spans="6:14">
      <c r="F111" s="12">
        <v>108</v>
      </c>
      <c r="G111" s="12">
        <v>452250</v>
      </c>
      <c r="H111" s="22" t="s">
        <v>601</v>
      </c>
      <c r="I111" s="13">
        <v>2.9782837500000006</v>
      </c>
      <c r="J111" s="26" t="s">
        <v>856</v>
      </c>
      <c r="K111" s="13" t="s">
        <v>839</v>
      </c>
      <c r="L111" s="24">
        <v>7901.5714150943395</v>
      </c>
      <c r="M111" s="24">
        <v>35.739404999999998</v>
      </c>
      <c r="N111" s="24">
        <v>2815.7273568000001</v>
      </c>
    </row>
    <row r="112" spans="6:14">
      <c r="F112" s="12">
        <v>109</v>
      </c>
      <c r="G112" s="12">
        <v>91230</v>
      </c>
      <c r="H112" s="22" t="s">
        <v>610</v>
      </c>
      <c r="I112" s="13">
        <v>2.9233562500000003</v>
      </c>
      <c r="J112" s="26" t="s">
        <v>848</v>
      </c>
      <c r="K112" s="13" t="s">
        <v>828</v>
      </c>
      <c r="L112" s="24">
        <v>31314.131016949152</v>
      </c>
      <c r="M112" s="24">
        <v>35.080275</v>
      </c>
      <c r="N112" s="24">
        <v>11547.67729539</v>
      </c>
    </row>
    <row r="113" spans="6:14">
      <c r="F113" s="12">
        <v>110</v>
      </c>
      <c r="G113" s="12">
        <v>463050</v>
      </c>
      <c r="H113" s="22" t="s">
        <v>300</v>
      </c>
      <c r="I113" s="13">
        <v>2.9099920000000004</v>
      </c>
      <c r="J113" s="26" t="s">
        <v>848</v>
      </c>
      <c r="K113" s="13" t="s">
        <v>866</v>
      </c>
      <c r="L113" s="24">
        <v>8981.3687804878045</v>
      </c>
      <c r="M113" s="24">
        <v>34.919904000000002</v>
      </c>
      <c r="N113" s="24">
        <v>3166.7507546000002</v>
      </c>
    </row>
    <row r="114" spans="6:14">
      <c r="F114" s="12">
        <v>111</v>
      </c>
      <c r="G114" s="12">
        <v>365000</v>
      </c>
      <c r="H114" s="22" t="s">
        <v>566</v>
      </c>
      <c r="I114" s="13">
        <v>2.8955212500000003</v>
      </c>
      <c r="J114" s="26" t="s">
        <v>848</v>
      </c>
      <c r="K114" s="13" t="s">
        <v>828</v>
      </c>
      <c r="L114" s="24">
        <v>4034.826843220339</v>
      </c>
      <c r="M114" s="24">
        <v>34.746254999999998</v>
      </c>
      <c r="N114" s="24">
        <v>1448.0186773</v>
      </c>
    </row>
    <row r="115" spans="6:14">
      <c r="F115" s="12">
        <v>112</v>
      </c>
      <c r="G115" s="12">
        <v>401470</v>
      </c>
      <c r="H115" s="22" t="s">
        <v>557</v>
      </c>
      <c r="I115" s="13">
        <v>2.8848472500000004</v>
      </c>
      <c r="J115" s="26" t="s">
        <v>848</v>
      </c>
      <c r="K115" s="13" t="s">
        <v>831</v>
      </c>
      <c r="L115" s="24">
        <v>8163.7060593220331</v>
      </c>
      <c r="M115" s="24">
        <v>34.618167</v>
      </c>
      <c r="N115" s="24">
        <v>2846.0598133899998</v>
      </c>
    </row>
    <row r="116" spans="6:14">
      <c r="F116" s="12">
        <v>113</v>
      </c>
      <c r="G116" s="12">
        <v>449180</v>
      </c>
      <c r="H116" s="22" t="s">
        <v>361</v>
      </c>
      <c r="I116" s="13">
        <v>2.8811948333333337</v>
      </c>
      <c r="J116" s="26" t="s">
        <v>832</v>
      </c>
      <c r="K116" s="13" t="s">
        <v>831</v>
      </c>
      <c r="L116" s="24">
        <v>10325.773305084746</v>
      </c>
      <c r="M116" s="24">
        <v>34.574337999999997</v>
      </c>
      <c r="N116" s="24">
        <v>3630.1944767</v>
      </c>
    </row>
    <row r="117" spans="6:14">
      <c r="F117" s="12">
        <v>114</v>
      </c>
      <c r="G117" s="12">
        <v>453810</v>
      </c>
      <c r="H117" s="22" t="s">
        <v>576</v>
      </c>
      <c r="I117" s="13">
        <v>2.8301118333333335</v>
      </c>
      <c r="J117" s="26" t="s">
        <v>854</v>
      </c>
      <c r="K117" s="13" t="s">
        <v>831</v>
      </c>
      <c r="L117" s="24">
        <v>10823.5958125</v>
      </c>
      <c r="M117" s="24">
        <v>33.961342000000002</v>
      </c>
      <c r="N117" s="24">
        <v>3660.8560868</v>
      </c>
    </row>
    <row r="118" spans="6:14">
      <c r="F118" s="12">
        <v>115</v>
      </c>
      <c r="G118" s="12">
        <v>395290</v>
      </c>
      <c r="H118" s="22" t="s">
        <v>390</v>
      </c>
      <c r="I118" s="13">
        <v>2.793856166666667</v>
      </c>
      <c r="J118" s="26" t="s">
        <v>848</v>
      </c>
      <c r="K118" s="13" t="s">
        <v>849</v>
      </c>
      <c r="L118" s="24">
        <v>9411.0627966101692</v>
      </c>
      <c r="M118" s="24">
        <v>33.526274000000001</v>
      </c>
      <c r="N118" s="24">
        <v>3259.9994387500001</v>
      </c>
    </row>
    <row r="119" spans="6:14">
      <c r="F119" s="12">
        <v>116</v>
      </c>
      <c r="G119" s="12">
        <v>252420</v>
      </c>
      <c r="H119" s="22" t="s">
        <v>445</v>
      </c>
      <c r="I119" s="13">
        <v>2.7794463333333335</v>
      </c>
      <c r="J119" s="26" t="s">
        <v>836</v>
      </c>
      <c r="K119" s="13" t="s">
        <v>837</v>
      </c>
      <c r="L119" s="24">
        <v>2705.2507203389832</v>
      </c>
      <c r="M119" s="24">
        <v>33.353355999999998</v>
      </c>
      <c r="N119" s="24">
        <v>923.53254040000002</v>
      </c>
    </row>
    <row r="120" spans="6:14">
      <c r="F120" s="12">
        <v>117</v>
      </c>
      <c r="G120" s="12">
        <v>329750</v>
      </c>
      <c r="H120" s="22" t="s">
        <v>262</v>
      </c>
      <c r="I120" s="13">
        <v>2.6863255000000006</v>
      </c>
      <c r="J120" s="26" t="s">
        <v>856</v>
      </c>
      <c r="K120" s="13" t="s">
        <v>828</v>
      </c>
      <c r="L120" s="24">
        <v>11379.249173728815</v>
      </c>
      <c r="M120" s="24">
        <v>32.235906</v>
      </c>
      <c r="N120" s="24">
        <v>3658.6140736500001</v>
      </c>
    </row>
    <row r="121" spans="6:14">
      <c r="F121" s="12">
        <v>118</v>
      </c>
      <c r="G121" s="12">
        <v>157490</v>
      </c>
      <c r="H121" s="22" t="s">
        <v>696</v>
      </c>
      <c r="I121" s="13">
        <v>2.6340755833333334</v>
      </c>
      <c r="J121" s="26" t="s">
        <v>848</v>
      </c>
      <c r="K121" s="13" t="s">
        <v>828</v>
      </c>
      <c r="L121" s="24">
        <v>8945.5676483050847</v>
      </c>
      <c r="M121" s="24">
        <v>31.608906999999999</v>
      </c>
      <c r="N121" s="24">
        <v>2864.11163296</v>
      </c>
    </row>
    <row r="122" spans="6:14">
      <c r="F122" s="12">
        <v>119</v>
      </c>
      <c r="G122" s="12">
        <v>394670</v>
      </c>
      <c r="H122" s="22" t="s">
        <v>137</v>
      </c>
      <c r="I122" s="13">
        <v>2.5792250833333337</v>
      </c>
      <c r="J122" s="26" t="s">
        <v>854</v>
      </c>
      <c r="K122" s="13" t="s">
        <v>828</v>
      </c>
      <c r="L122" s="24">
        <v>8771.2275847457622</v>
      </c>
      <c r="M122" s="24">
        <v>30.950700999999999</v>
      </c>
      <c r="N122" s="24">
        <v>2769.6261196</v>
      </c>
    </row>
    <row r="123" spans="6:14">
      <c r="F123" s="12">
        <v>120</v>
      </c>
      <c r="G123" s="12">
        <v>448290</v>
      </c>
      <c r="H123" s="22" t="s">
        <v>417</v>
      </c>
      <c r="I123" s="13">
        <v>2.5786275833333336</v>
      </c>
      <c r="J123" s="26" t="s">
        <v>832</v>
      </c>
      <c r="K123" s="13" t="s">
        <v>828</v>
      </c>
      <c r="L123" s="24">
        <v>10455.643728813558</v>
      </c>
      <c r="M123" s="24">
        <v>30.943531</v>
      </c>
      <c r="N123" s="24">
        <v>3247.6560901900002</v>
      </c>
    </row>
    <row r="124" spans="6:14">
      <c r="F124" s="12">
        <v>121</v>
      </c>
      <c r="G124" s="12">
        <v>367380</v>
      </c>
      <c r="H124" s="22" t="s">
        <v>283</v>
      </c>
      <c r="I124" s="13">
        <v>2.5585219166666668</v>
      </c>
      <c r="J124" s="26" t="s">
        <v>832</v>
      </c>
      <c r="K124" s="13" t="s">
        <v>839</v>
      </c>
      <c r="L124" s="24">
        <v>14131.674788135593</v>
      </c>
      <c r="M124" s="24">
        <v>30.702262999999999</v>
      </c>
      <c r="N124" s="24">
        <v>4389.8113173000002</v>
      </c>
    </row>
    <row r="125" spans="6:14">
      <c r="F125" s="12">
        <v>122</v>
      </c>
      <c r="G125" s="12">
        <v>314250</v>
      </c>
      <c r="H125" s="22" t="s">
        <v>418</v>
      </c>
      <c r="I125" s="13">
        <v>2.4489085000000004</v>
      </c>
      <c r="J125" s="26" t="s">
        <v>853</v>
      </c>
      <c r="K125" s="13" t="s">
        <v>831</v>
      </c>
      <c r="L125" s="24">
        <v>25643.878093220341</v>
      </c>
      <c r="M125" s="24">
        <v>29.386901999999999</v>
      </c>
      <c r="N125" s="24">
        <v>7813.1889649000004</v>
      </c>
    </row>
    <row r="126" spans="6:14">
      <c r="F126" s="12">
        <v>123</v>
      </c>
      <c r="G126" s="12">
        <v>418660</v>
      </c>
      <c r="H126" s="22" t="s">
        <v>234</v>
      </c>
      <c r="I126" s="13">
        <v>2.443311</v>
      </c>
      <c r="J126" s="26" t="s">
        <v>854</v>
      </c>
      <c r="K126" s="13" t="s">
        <v>828</v>
      </c>
      <c r="L126" s="24">
        <v>10558.165444915254</v>
      </c>
      <c r="M126" s="24">
        <v>29.319731999999998</v>
      </c>
      <c r="N126" s="24">
        <v>2854.1656807499999</v>
      </c>
    </row>
    <row r="127" spans="6:14">
      <c r="F127" s="12">
        <v>124</v>
      </c>
      <c r="G127" s="12">
        <v>133690</v>
      </c>
      <c r="H127" s="22" t="s">
        <v>20</v>
      </c>
      <c r="I127" s="13">
        <v>2.416652416666667</v>
      </c>
      <c r="J127" s="26" t="s">
        <v>832</v>
      </c>
      <c r="K127" s="13" t="s">
        <v>828</v>
      </c>
      <c r="L127" s="24">
        <v>82274.058283898295</v>
      </c>
      <c r="M127" s="24">
        <v>28.999828999999998</v>
      </c>
      <c r="N127" s="24">
        <v>23614.756515680001</v>
      </c>
    </row>
    <row r="128" spans="6:14">
      <c r="F128" s="12">
        <v>125</v>
      </c>
      <c r="G128" s="12">
        <v>364990</v>
      </c>
      <c r="H128" s="22" t="s">
        <v>357</v>
      </c>
      <c r="I128" s="13">
        <v>2.3375448333333333</v>
      </c>
      <c r="J128" s="26" t="s">
        <v>848</v>
      </c>
      <c r="K128" s="13" t="s">
        <v>828</v>
      </c>
      <c r="L128" s="24">
        <v>5542.6794279661017</v>
      </c>
      <c r="M128" s="24">
        <v>28.050538</v>
      </c>
      <c r="N128" s="24">
        <v>1569.4156784500001</v>
      </c>
    </row>
    <row r="129" spans="6:14">
      <c r="F129" s="12">
        <v>126</v>
      </c>
      <c r="G129" s="12">
        <v>423920</v>
      </c>
      <c r="H129" s="22" t="s">
        <v>616</v>
      </c>
      <c r="I129" s="13">
        <v>2.3145596666666668</v>
      </c>
      <c r="J129" s="26" t="s">
        <v>854</v>
      </c>
      <c r="K129" s="13" t="s">
        <v>828</v>
      </c>
      <c r="L129" s="24">
        <v>11133.006843220341</v>
      </c>
      <c r="M129" s="24">
        <v>27.774716000000002</v>
      </c>
      <c r="N129" s="24">
        <v>2955.1769249499998</v>
      </c>
    </row>
    <row r="130" spans="6:14">
      <c r="F130" s="12">
        <v>127</v>
      </c>
      <c r="G130" s="12">
        <v>446770</v>
      </c>
      <c r="H130" s="22" t="s">
        <v>690</v>
      </c>
      <c r="I130" s="13">
        <v>2.2742657500000001</v>
      </c>
      <c r="J130" s="26" t="s">
        <v>853</v>
      </c>
      <c r="K130" s="13" t="s">
        <v>839</v>
      </c>
      <c r="L130" s="24">
        <v>13451.438347457628</v>
      </c>
      <c r="M130" s="24">
        <v>27.291188999999999</v>
      </c>
      <c r="N130" s="24">
        <v>3768.8670637999999</v>
      </c>
    </row>
    <row r="131" spans="6:14">
      <c r="F131" s="12">
        <v>128</v>
      </c>
      <c r="G131" s="12">
        <v>261250</v>
      </c>
      <c r="H131" s="22" t="s">
        <v>768</v>
      </c>
      <c r="I131" s="13">
        <v>2.2546010000000005</v>
      </c>
      <c r="J131" s="26" t="s">
        <v>850</v>
      </c>
      <c r="K131" s="13" t="s">
        <v>831</v>
      </c>
      <c r="L131" s="24">
        <v>12446.268283898306</v>
      </c>
      <c r="M131" s="24">
        <v>27.055212000000001</v>
      </c>
      <c r="N131" s="24">
        <v>3248.1139375500002</v>
      </c>
    </row>
    <row r="132" spans="6:14">
      <c r="F132" s="12">
        <v>129</v>
      </c>
      <c r="G132" s="12">
        <v>448300</v>
      </c>
      <c r="H132" s="22" t="s">
        <v>105</v>
      </c>
      <c r="I132" s="13">
        <v>2.2496210833333334</v>
      </c>
      <c r="J132" s="26" t="s">
        <v>832</v>
      </c>
      <c r="K132" s="13" t="s">
        <v>828</v>
      </c>
      <c r="L132" s="24">
        <v>11716.709110169491</v>
      </c>
      <c r="M132" s="24">
        <v>26.995453000000001</v>
      </c>
      <c r="N132" s="24">
        <v>3209.7623284900001</v>
      </c>
    </row>
    <row r="133" spans="6:14">
      <c r="F133" s="12">
        <v>130</v>
      </c>
      <c r="G133" s="12">
        <v>200250</v>
      </c>
      <c r="H133" s="22" t="s">
        <v>315</v>
      </c>
      <c r="I133" s="13">
        <v>2.2358445833333334</v>
      </c>
      <c r="J133" s="26" t="s">
        <v>854</v>
      </c>
      <c r="K133" s="13" t="s">
        <v>855</v>
      </c>
      <c r="L133" s="24">
        <v>19310.274131355935</v>
      </c>
      <c r="M133" s="24">
        <v>26.830134999999999</v>
      </c>
      <c r="N133" s="24">
        <v>5225.3930827000004</v>
      </c>
    </row>
    <row r="134" spans="6:14">
      <c r="F134" s="12">
        <v>131</v>
      </c>
      <c r="G134" s="12">
        <v>204480</v>
      </c>
      <c r="H134" s="22" t="s">
        <v>603</v>
      </c>
      <c r="I134" s="13">
        <v>2.201233666666667</v>
      </c>
      <c r="J134" s="26" t="s">
        <v>854</v>
      </c>
      <c r="K134" s="13" t="s">
        <v>828</v>
      </c>
      <c r="L134" s="24">
        <v>18064.249957627118</v>
      </c>
      <c r="M134" s="24">
        <v>26.414804</v>
      </c>
      <c r="N134" s="24">
        <v>4394.6522046500004</v>
      </c>
    </row>
    <row r="135" spans="6:14">
      <c r="F135" s="12">
        <v>132</v>
      </c>
      <c r="G135" s="12">
        <v>471990</v>
      </c>
      <c r="H135" s="22" t="s">
        <v>589</v>
      </c>
      <c r="I135" s="13">
        <v>2.1919063333333333</v>
      </c>
      <c r="J135" s="26" t="s">
        <v>848</v>
      </c>
      <c r="K135" s="13" t="s">
        <v>831</v>
      </c>
      <c r="L135" s="24">
        <v>10157.495000000001</v>
      </c>
      <c r="M135" s="24">
        <v>26.302876000000001</v>
      </c>
      <c r="N135" s="24">
        <v>2666.11703025</v>
      </c>
    </row>
    <row r="136" spans="6:14">
      <c r="F136" s="12">
        <v>133</v>
      </c>
      <c r="G136" s="12">
        <v>266420</v>
      </c>
      <c r="H136" s="22" t="s">
        <v>243</v>
      </c>
      <c r="I136" s="13">
        <v>2.1787909999999999</v>
      </c>
      <c r="J136" s="26" t="s">
        <v>848</v>
      </c>
      <c r="K136" s="13" t="s">
        <v>831</v>
      </c>
      <c r="L136" s="24">
        <v>11741.625699152542</v>
      </c>
      <c r="M136" s="24">
        <v>26.145492000000001</v>
      </c>
      <c r="N136" s="24">
        <v>3117.5672685499999</v>
      </c>
    </row>
    <row r="137" spans="6:14">
      <c r="F137" s="12">
        <v>134</v>
      </c>
      <c r="G137" s="12">
        <v>292150</v>
      </c>
      <c r="H137" s="22" t="s">
        <v>308</v>
      </c>
      <c r="I137" s="13">
        <v>2.1769234166666669</v>
      </c>
      <c r="J137" s="26" t="s">
        <v>827</v>
      </c>
      <c r="K137" s="13" t="s">
        <v>828</v>
      </c>
      <c r="L137" s="24">
        <v>10963.200127118644</v>
      </c>
      <c r="M137" s="24">
        <v>26.123080999999999</v>
      </c>
      <c r="N137" s="24">
        <v>2857.0736606599999</v>
      </c>
    </row>
    <row r="138" spans="6:14">
      <c r="F138" s="12">
        <v>135</v>
      </c>
      <c r="G138" s="12">
        <v>261240</v>
      </c>
      <c r="H138" s="22" t="s">
        <v>96</v>
      </c>
      <c r="I138" s="13">
        <v>2.1730610833333337</v>
      </c>
      <c r="J138" s="26" t="s">
        <v>850</v>
      </c>
      <c r="K138" s="13" t="s">
        <v>831</v>
      </c>
      <c r="L138" s="24">
        <v>11937.785847457628</v>
      </c>
      <c r="M138" s="24">
        <v>26.076733000000001</v>
      </c>
      <c r="N138" s="24">
        <v>3072.811948</v>
      </c>
    </row>
    <row r="139" spans="6:14">
      <c r="F139" s="12">
        <v>136</v>
      </c>
      <c r="G139" s="12">
        <v>446690</v>
      </c>
      <c r="H139" s="22" t="s">
        <v>364</v>
      </c>
      <c r="I139" s="13">
        <v>2.1389030000000004</v>
      </c>
      <c r="J139" s="26" t="s">
        <v>853</v>
      </c>
      <c r="K139" s="13" t="s">
        <v>831</v>
      </c>
      <c r="L139" s="24">
        <v>12004.312800925925</v>
      </c>
      <c r="M139" s="24">
        <v>25.666836</v>
      </c>
      <c r="N139" s="24">
        <v>3046.0207817</v>
      </c>
    </row>
    <row r="140" spans="6:14">
      <c r="F140" s="12">
        <v>137</v>
      </c>
      <c r="G140" s="12">
        <v>379780</v>
      </c>
      <c r="H140" s="22" t="s">
        <v>317</v>
      </c>
      <c r="I140" s="13">
        <v>2.137828166666667</v>
      </c>
      <c r="J140" s="26" t="s">
        <v>832</v>
      </c>
      <c r="K140" s="13" t="s">
        <v>837</v>
      </c>
      <c r="L140" s="24">
        <v>12192.735635593221</v>
      </c>
      <c r="M140" s="24">
        <v>25.653938</v>
      </c>
      <c r="N140" s="24">
        <v>3111.4182040999999</v>
      </c>
    </row>
    <row r="141" spans="6:14">
      <c r="F141" s="12">
        <v>138</v>
      </c>
      <c r="G141" s="12">
        <v>368590</v>
      </c>
      <c r="H141" s="22" t="s">
        <v>442</v>
      </c>
      <c r="I141" s="13">
        <v>2.0992816666666672</v>
      </c>
      <c r="J141" s="26" t="s">
        <v>832</v>
      </c>
      <c r="K141" s="13" t="s">
        <v>837</v>
      </c>
      <c r="L141" s="24">
        <v>13681.812775423728</v>
      </c>
      <c r="M141" s="24">
        <v>25.191379999999999</v>
      </c>
      <c r="N141" s="24">
        <v>3449.5337349000001</v>
      </c>
    </row>
    <row r="142" spans="6:14">
      <c r="F142" s="12">
        <v>139</v>
      </c>
      <c r="G142" s="12">
        <v>409810</v>
      </c>
      <c r="H142" s="22" t="s">
        <v>605</v>
      </c>
      <c r="I142" s="13">
        <v>1.9985112500000002</v>
      </c>
      <c r="J142" s="26" t="s">
        <v>854</v>
      </c>
      <c r="K142" s="13" t="s">
        <v>831</v>
      </c>
      <c r="L142" s="24">
        <v>10904.485677966102</v>
      </c>
      <c r="M142" s="24">
        <v>23.982135</v>
      </c>
      <c r="N142" s="24">
        <v>2593.22583295</v>
      </c>
    </row>
    <row r="143" spans="6:14">
      <c r="F143" s="12">
        <v>140</v>
      </c>
      <c r="G143" s="12">
        <v>364960</v>
      </c>
      <c r="H143" s="22" t="s">
        <v>155</v>
      </c>
      <c r="I143" s="13">
        <v>1.9876480000000003</v>
      </c>
      <c r="J143" s="26" t="s">
        <v>848</v>
      </c>
      <c r="K143" s="13" t="s">
        <v>828</v>
      </c>
      <c r="L143" s="24">
        <v>6642.0424576271189</v>
      </c>
      <c r="M143" s="24">
        <v>23.851776000000001</v>
      </c>
      <c r="N143" s="24">
        <v>1593.4339328399999</v>
      </c>
    </row>
    <row r="144" spans="6:14">
      <c r="F144" s="12">
        <v>141</v>
      </c>
      <c r="G144" s="12">
        <v>293180</v>
      </c>
      <c r="H144" s="22" t="s">
        <v>394</v>
      </c>
      <c r="I144" s="13">
        <v>1.9321994166666667</v>
      </c>
      <c r="J144" s="26" t="s">
        <v>840</v>
      </c>
      <c r="K144" s="13" t="s">
        <v>849</v>
      </c>
      <c r="L144" s="24">
        <v>33166.361737288134</v>
      </c>
      <c r="M144" s="24">
        <v>23.186392999999999</v>
      </c>
      <c r="N144" s="24">
        <v>7682.3632694999997</v>
      </c>
    </row>
    <row r="145" spans="6:14">
      <c r="F145" s="12">
        <v>142</v>
      </c>
      <c r="G145" s="12">
        <v>117680</v>
      </c>
      <c r="H145" s="22" t="s">
        <v>567</v>
      </c>
      <c r="I145" s="13">
        <v>1.9283195000000002</v>
      </c>
      <c r="J145" s="26" t="s">
        <v>848</v>
      </c>
      <c r="K145" s="13" t="s">
        <v>831</v>
      </c>
      <c r="L145" s="24">
        <v>9123.766546610168</v>
      </c>
      <c r="M145" s="24">
        <v>23.139834</v>
      </c>
      <c r="N145" s="24">
        <v>2148.6575358700002</v>
      </c>
    </row>
    <row r="146" spans="6:14">
      <c r="F146" s="12">
        <v>143</v>
      </c>
      <c r="G146" s="12">
        <v>270810</v>
      </c>
      <c r="H146" s="22" t="s">
        <v>775</v>
      </c>
      <c r="I146" s="13">
        <v>1.9153971666666667</v>
      </c>
      <c r="J146" s="26" t="s">
        <v>840</v>
      </c>
      <c r="K146" s="13" t="s">
        <v>837</v>
      </c>
      <c r="L146" s="24">
        <v>12702.841673728813</v>
      </c>
      <c r="M146" s="24">
        <v>22.984766</v>
      </c>
      <c r="N146" s="24">
        <v>3029.0225298999999</v>
      </c>
    </row>
    <row r="147" spans="6:14">
      <c r="F147" s="12">
        <v>144</v>
      </c>
      <c r="G147" s="12">
        <v>305080</v>
      </c>
      <c r="H147" s="22" t="s">
        <v>514</v>
      </c>
      <c r="I147" s="13">
        <v>1.915114666666667</v>
      </c>
      <c r="J147" s="26" t="s">
        <v>856</v>
      </c>
      <c r="K147" s="13" t="s">
        <v>828</v>
      </c>
      <c r="L147" s="24">
        <v>11421.408834745762</v>
      </c>
      <c r="M147" s="24">
        <v>22.981376000000001</v>
      </c>
      <c r="N147" s="24">
        <v>2649.1286980499999</v>
      </c>
    </row>
    <row r="148" spans="6:14">
      <c r="F148" s="12">
        <v>145</v>
      </c>
      <c r="G148" s="12">
        <v>360140</v>
      </c>
      <c r="H148" s="22" t="s">
        <v>642</v>
      </c>
      <c r="I148" s="13">
        <v>1.8834782500000002</v>
      </c>
      <c r="J148" s="26" t="s">
        <v>838</v>
      </c>
      <c r="K148" s="13" t="s">
        <v>831</v>
      </c>
      <c r="L148" s="24">
        <v>9176.1272881355926</v>
      </c>
      <c r="M148" s="24">
        <v>22.601738999999998</v>
      </c>
      <c r="N148" s="24">
        <v>1974.69029875</v>
      </c>
    </row>
    <row r="149" spans="6:14">
      <c r="F149" s="12">
        <v>146</v>
      </c>
      <c r="G149" s="12">
        <v>139250</v>
      </c>
      <c r="H149" s="22" t="s">
        <v>255</v>
      </c>
      <c r="I149" s="13">
        <v>1.8780438333333336</v>
      </c>
      <c r="J149" s="26" t="s">
        <v>848</v>
      </c>
      <c r="K149" s="13" t="s">
        <v>828</v>
      </c>
      <c r="L149" s="24">
        <v>15092.289406779661</v>
      </c>
      <c r="M149" s="24">
        <v>22.536525999999999</v>
      </c>
      <c r="N149" s="24">
        <v>3258.2709172</v>
      </c>
    </row>
    <row r="150" spans="6:14">
      <c r="F150" s="12">
        <v>147</v>
      </c>
      <c r="G150" s="12">
        <v>295040</v>
      </c>
      <c r="H150" s="22" t="s">
        <v>202</v>
      </c>
      <c r="I150" s="13">
        <v>1.8676325833333336</v>
      </c>
      <c r="J150" s="26" t="s">
        <v>840</v>
      </c>
      <c r="K150" s="13" t="s">
        <v>844</v>
      </c>
      <c r="L150" s="24">
        <v>11693.587309322034</v>
      </c>
      <c r="M150" s="24">
        <v>22.411591000000001</v>
      </c>
      <c r="N150" s="24">
        <v>2611.6722274399999</v>
      </c>
    </row>
    <row r="151" spans="6:14">
      <c r="F151" s="12">
        <v>148</v>
      </c>
      <c r="G151" s="12">
        <v>435040</v>
      </c>
      <c r="H151" s="22" t="s">
        <v>124</v>
      </c>
      <c r="I151" s="13">
        <v>1.8595279166666667</v>
      </c>
      <c r="J151" s="26" t="s">
        <v>843</v>
      </c>
      <c r="K151" s="13" t="s">
        <v>839</v>
      </c>
      <c r="L151" s="24">
        <v>11616.770656779661</v>
      </c>
      <c r="M151" s="24">
        <v>22.314335</v>
      </c>
      <c r="N151" s="24">
        <v>2400.9881252499999</v>
      </c>
    </row>
    <row r="152" spans="6:14">
      <c r="F152" s="12">
        <v>149</v>
      </c>
      <c r="G152" s="12">
        <v>449190</v>
      </c>
      <c r="H152" s="22" t="s">
        <v>660</v>
      </c>
      <c r="I152" s="13">
        <v>1.8543143333333334</v>
      </c>
      <c r="J152" s="26" t="s">
        <v>832</v>
      </c>
      <c r="K152" s="13" t="s">
        <v>831</v>
      </c>
      <c r="L152" s="24">
        <v>11517.62847457627</v>
      </c>
      <c r="M152" s="24">
        <v>22.251771999999999</v>
      </c>
      <c r="N152" s="24">
        <v>2666.19030015</v>
      </c>
    </row>
    <row r="153" spans="6:14">
      <c r="F153" s="12">
        <v>150</v>
      </c>
      <c r="G153" s="12">
        <v>447770</v>
      </c>
      <c r="H153" s="22" t="s">
        <v>230</v>
      </c>
      <c r="I153" s="13">
        <v>1.8506686666666667</v>
      </c>
      <c r="J153" s="26" t="s">
        <v>847</v>
      </c>
      <c r="K153" s="13" t="s">
        <v>828</v>
      </c>
      <c r="L153" s="24">
        <v>10735.216716101695</v>
      </c>
      <c r="M153" s="24">
        <v>22.208024000000002</v>
      </c>
      <c r="N153" s="24">
        <v>2368.75376865</v>
      </c>
    </row>
    <row r="154" spans="6:14">
      <c r="F154" s="12">
        <v>151</v>
      </c>
      <c r="G154" s="12">
        <v>325020</v>
      </c>
      <c r="H154" s="22" t="s">
        <v>586</v>
      </c>
      <c r="I154" s="13">
        <v>1.8053578333333336</v>
      </c>
      <c r="J154" s="26" t="s">
        <v>838</v>
      </c>
      <c r="K154" s="13" t="s">
        <v>831</v>
      </c>
      <c r="L154" s="24">
        <v>12260.061186440678</v>
      </c>
      <c r="M154" s="24">
        <v>21.664294000000002</v>
      </c>
      <c r="N154" s="24">
        <v>2641.1394969399998</v>
      </c>
    </row>
    <row r="155" spans="6:14">
      <c r="F155" s="12">
        <v>152</v>
      </c>
      <c r="G155" s="12">
        <v>273140</v>
      </c>
      <c r="H155" s="22" t="s">
        <v>619</v>
      </c>
      <c r="I155" s="13">
        <v>1.7968413333333335</v>
      </c>
      <c r="J155" s="26" t="s">
        <v>835</v>
      </c>
      <c r="K155" s="13" t="s">
        <v>831</v>
      </c>
      <c r="L155" s="24">
        <v>107051.68637711865</v>
      </c>
      <c r="M155" s="24">
        <v>21.562096</v>
      </c>
      <c r="N155" s="24">
        <v>23140.795453300001</v>
      </c>
    </row>
    <row r="156" spans="6:14">
      <c r="F156" s="12">
        <v>153</v>
      </c>
      <c r="G156" s="12">
        <v>385720</v>
      </c>
      <c r="H156" s="22" t="s">
        <v>249</v>
      </c>
      <c r="I156" s="13">
        <v>1.7899257500000003</v>
      </c>
      <c r="J156" s="26" t="s">
        <v>840</v>
      </c>
      <c r="K156" s="13" t="s">
        <v>866</v>
      </c>
      <c r="L156" s="24">
        <v>8537.4010169491521</v>
      </c>
      <c r="M156" s="24">
        <v>21.479109000000001</v>
      </c>
      <c r="N156" s="24">
        <v>1852.2750186000001</v>
      </c>
    </row>
    <row r="157" spans="6:14">
      <c r="F157" s="12">
        <v>154</v>
      </c>
      <c r="G157" s="12">
        <v>253230</v>
      </c>
      <c r="H157" s="22" t="s">
        <v>107</v>
      </c>
      <c r="I157" s="13">
        <v>1.7869425833333334</v>
      </c>
      <c r="J157" s="26" t="s">
        <v>836</v>
      </c>
      <c r="K157" s="13" t="s">
        <v>855</v>
      </c>
      <c r="L157" s="24">
        <v>2718.4706567796607</v>
      </c>
      <c r="M157" s="24">
        <v>21.443311000000001</v>
      </c>
      <c r="N157" s="24">
        <v>598.07711934999998</v>
      </c>
    </row>
    <row r="158" spans="6:14">
      <c r="F158" s="12">
        <v>155</v>
      </c>
      <c r="G158" s="12">
        <v>448540</v>
      </c>
      <c r="H158" s="22" t="s">
        <v>157</v>
      </c>
      <c r="I158" s="13">
        <v>1.7131787500000002</v>
      </c>
      <c r="J158" s="26" t="s">
        <v>847</v>
      </c>
      <c r="K158" s="13" t="s">
        <v>839</v>
      </c>
      <c r="L158" s="24">
        <v>13116.859088983052</v>
      </c>
      <c r="M158" s="24">
        <v>20.558145</v>
      </c>
      <c r="N158" s="24">
        <v>2482.2454345000001</v>
      </c>
    </row>
    <row r="159" spans="6:14">
      <c r="F159" s="12">
        <v>156</v>
      </c>
      <c r="G159" s="12">
        <v>401170</v>
      </c>
      <c r="H159" s="22" t="s">
        <v>181</v>
      </c>
      <c r="I159" s="13">
        <v>1.6987334166666668</v>
      </c>
      <c r="J159" s="26" t="s">
        <v>848</v>
      </c>
      <c r="K159" s="13" t="s">
        <v>837</v>
      </c>
      <c r="L159" s="24">
        <v>7061.4086440677966</v>
      </c>
      <c r="M159" s="24">
        <v>20.384801</v>
      </c>
      <c r="N159" s="24">
        <v>1443.1872285500001</v>
      </c>
    </row>
    <row r="160" spans="6:14">
      <c r="F160" s="12">
        <v>157</v>
      </c>
      <c r="G160" s="12">
        <v>139260</v>
      </c>
      <c r="H160" s="22" t="s">
        <v>637</v>
      </c>
      <c r="I160" s="13">
        <v>1.6641172500000003</v>
      </c>
      <c r="J160" s="26" t="s">
        <v>848</v>
      </c>
      <c r="K160" s="13" t="s">
        <v>828</v>
      </c>
      <c r="L160" s="24">
        <v>30861.463813559323</v>
      </c>
      <c r="M160" s="24">
        <v>19.969407</v>
      </c>
      <c r="N160" s="24">
        <v>6220.5383744000001</v>
      </c>
    </row>
    <row r="161" spans="6:14">
      <c r="F161" s="12">
        <v>158</v>
      </c>
      <c r="G161" s="12">
        <v>130730</v>
      </c>
      <c r="H161" s="22" t="s">
        <v>607</v>
      </c>
      <c r="I161" s="13">
        <v>1.6530048333333336</v>
      </c>
      <c r="J161" s="26" t="s">
        <v>835</v>
      </c>
      <c r="K161" s="13" t="s">
        <v>855</v>
      </c>
      <c r="L161" s="24">
        <v>103067.61044491526</v>
      </c>
      <c r="M161" s="24">
        <v>19.836058000000001</v>
      </c>
      <c r="N161" s="24">
        <v>20466.8406235</v>
      </c>
    </row>
    <row r="162" spans="6:14">
      <c r="F162" s="12">
        <v>159</v>
      </c>
      <c r="G162" s="12">
        <v>300950</v>
      </c>
      <c r="H162" s="22" t="s">
        <v>60</v>
      </c>
      <c r="I162" s="13">
        <v>1.633167666666667</v>
      </c>
      <c r="J162" s="26" t="s">
        <v>848</v>
      </c>
      <c r="K162" s="13" t="s">
        <v>831</v>
      </c>
      <c r="L162" s="24">
        <v>7444.0735805084742</v>
      </c>
      <c r="M162" s="24">
        <v>19.598012000000001</v>
      </c>
      <c r="N162" s="24">
        <v>1432.0801008999999</v>
      </c>
    </row>
    <row r="163" spans="6:14">
      <c r="F163" s="12">
        <v>160</v>
      </c>
      <c r="G163" s="12">
        <v>446700</v>
      </c>
      <c r="H163" s="22" t="s">
        <v>796</v>
      </c>
      <c r="I163" s="13">
        <v>1.5526634166666669</v>
      </c>
      <c r="J163" s="26" t="s">
        <v>845</v>
      </c>
      <c r="K163" s="13" t="s">
        <v>837</v>
      </c>
      <c r="L163" s="24">
        <v>13515.581355932205</v>
      </c>
      <c r="M163" s="24">
        <v>18.631961</v>
      </c>
      <c r="N163" s="24">
        <v>2623.66258685</v>
      </c>
    </row>
    <row r="164" spans="6:14">
      <c r="F164" s="12">
        <v>161</v>
      </c>
      <c r="G164" s="12">
        <v>143860</v>
      </c>
      <c r="H164" s="22" t="s">
        <v>296</v>
      </c>
      <c r="I164" s="13">
        <v>1.5238103333333335</v>
      </c>
      <c r="J164" s="26" t="s">
        <v>848</v>
      </c>
      <c r="K164" s="13" t="s">
        <v>828</v>
      </c>
      <c r="L164" s="24">
        <v>26687.475084745762</v>
      </c>
      <c r="M164" s="24">
        <v>18.285723999999998</v>
      </c>
      <c r="N164" s="24">
        <v>4940.2589950499996</v>
      </c>
    </row>
    <row r="165" spans="6:14">
      <c r="F165" s="12">
        <v>162</v>
      </c>
      <c r="G165" s="12">
        <v>261270</v>
      </c>
      <c r="H165" s="22" t="s">
        <v>93</v>
      </c>
      <c r="I165" s="13">
        <v>1.5180035833333334</v>
      </c>
      <c r="J165" s="26" t="s">
        <v>850</v>
      </c>
      <c r="K165" s="13" t="s">
        <v>831</v>
      </c>
      <c r="L165" s="24">
        <v>8713.8943220338988</v>
      </c>
      <c r="M165" s="24">
        <v>18.216042999999999</v>
      </c>
      <c r="N165" s="24">
        <v>1588.49194885</v>
      </c>
    </row>
    <row r="166" spans="6:14">
      <c r="F166" s="12">
        <v>163</v>
      </c>
      <c r="G166" s="12">
        <v>400570</v>
      </c>
      <c r="H166" s="22" t="s">
        <v>577</v>
      </c>
      <c r="I166" s="13">
        <v>1.5148793333333335</v>
      </c>
      <c r="J166" s="26" t="s">
        <v>853</v>
      </c>
      <c r="K166" s="13" t="s">
        <v>831</v>
      </c>
      <c r="L166" s="24">
        <v>13149.436250000001</v>
      </c>
      <c r="M166" s="24">
        <v>18.178552</v>
      </c>
      <c r="N166" s="24">
        <v>2376.1042794999998</v>
      </c>
    </row>
    <row r="167" spans="6:14">
      <c r="F167" s="12">
        <v>164</v>
      </c>
      <c r="G167" s="12">
        <v>395160</v>
      </c>
      <c r="H167" s="22" t="s">
        <v>687</v>
      </c>
      <c r="I167" s="13">
        <v>1.5020148333333334</v>
      </c>
      <c r="J167" s="26" t="s">
        <v>848</v>
      </c>
      <c r="K167" s="13" t="s">
        <v>831</v>
      </c>
      <c r="L167" s="24">
        <v>8507.6325423728813</v>
      </c>
      <c r="M167" s="24">
        <v>18.024177999999999</v>
      </c>
      <c r="N167" s="24">
        <v>1593.7800700499999</v>
      </c>
    </row>
    <row r="168" spans="6:14">
      <c r="F168" s="12">
        <v>165</v>
      </c>
      <c r="G168" s="12">
        <v>448320</v>
      </c>
      <c r="H168" s="22" t="s">
        <v>1694</v>
      </c>
      <c r="I168" s="13">
        <v>1.4710351666666668</v>
      </c>
      <c r="J168" s="26">
        <v>448320</v>
      </c>
      <c r="K168" s="13">
        <v>448320</v>
      </c>
      <c r="L168" s="24">
        <v>10321.181091703058</v>
      </c>
      <c r="M168" s="24">
        <v>17.652422000000001</v>
      </c>
      <c r="N168" s="24">
        <v>1819.16732355</v>
      </c>
    </row>
    <row r="169" spans="6:14">
      <c r="F169" s="12">
        <v>166</v>
      </c>
      <c r="G169" s="12">
        <v>385560</v>
      </c>
      <c r="H169" s="22" t="s">
        <v>761</v>
      </c>
      <c r="I169" s="13">
        <v>1.4453133333333334</v>
      </c>
      <c r="J169" s="26" t="s">
        <v>835</v>
      </c>
      <c r="K169" s="13" t="s">
        <v>837</v>
      </c>
      <c r="L169" s="24">
        <v>68067.1198940678</v>
      </c>
      <c r="M169" s="24">
        <v>17.34376</v>
      </c>
      <c r="N169" s="24">
        <v>11883.268353150001</v>
      </c>
    </row>
    <row r="170" spans="6:14">
      <c r="F170" s="12">
        <v>167</v>
      </c>
      <c r="G170" s="12">
        <v>385510</v>
      </c>
      <c r="H170" s="22" t="s">
        <v>120</v>
      </c>
      <c r="I170" s="13">
        <v>1.3664299166666667</v>
      </c>
      <c r="J170" s="26" t="s">
        <v>845</v>
      </c>
      <c r="K170" s="13" t="s">
        <v>831</v>
      </c>
      <c r="L170" s="24">
        <v>13348.496588983051</v>
      </c>
      <c r="M170" s="24">
        <v>16.397158999999998</v>
      </c>
      <c r="N170" s="24">
        <v>2132.6867081999999</v>
      </c>
    </row>
    <row r="171" spans="6:14">
      <c r="F171" s="12">
        <v>168</v>
      </c>
      <c r="G171" s="12">
        <v>445150</v>
      </c>
      <c r="H171" s="22" t="s">
        <v>353</v>
      </c>
      <c r="I171" s="13">
        <v>1.3547487500000002</v>
      </c>
      <c r="J171" s="26" t="s">
        <v>845</v>
      </c>
      <c r="K171" s="13" t="s">
        <v>831</v>
      </c>
      <c r="L171" s="24">
        <v>10694.378940677967</v>
      </c>
      <c r="M171" s="24">
        <v>16.256985</v>
      </c>
      <c r="N171" s="24">
        <v>1830.6347714999999</v>
      </c>
    </row>
    <row r="172" spans="6:14">
      <c r="F172" s="12">
        <v>169</v>
      </c>
      <c r="G172" s="12">
        <v>277630</v>
      </c>
      <c r="H172" s="22" t="s">
        <v>563</v>
      </c>
      <c r="I172" s="13">
        <v>1.3496955833333335</v>
      </c>
      <c r="J172" s="26" t="s">
        <v>840</v>
      </c>
      <c r="K172" s="13" t="s">
        <v>828</v>
      </c>
      <c r="L172" s="24">
        <v>25813.259258474576</v>
      </c>
      <c r="M172" s="24">
        <v>16.196346999999999</v>
      </c>
      <c r="N172" s="24">
        <v>4067.1596095899999</v>
      </c>
    </row>
    <row r="173" spans="6:14">
      <c r="F173" s="12">
        <v>170</v>
      </c>
      <c r="G173" s="12">
        <v>123320</v>
      </c>
      <c r="H173" s="22" t="s">
        <v>286</v>
      </c>
      <c r="I173" s="13">
        <v>1.3419872500000003</v>
      </c>
      <c r="J173" s="26" t="s">
        <v>861</v>
      </c>
      <c r="K173" s="13" t="s">
        <v>828</v>
      </c>
      <c r="L173" s="24">
        <v>15467.963199152542</v>
      </c>
      <c r="M173" s="24">
        <v>16.103846999999998</v>
      </c>
      <c r="N173" s="24">
        <v>2460.3842195000002</v>
      </c>
    </row>
    <row r="174" spans="6:14">
      <c r="F174" s="12">
        <v>171</v>
      </c>
      <c r="G174" s="12">
        <v>390390</v>
      </c>
      <c r="H174" s="22" t="s">
        <v>376</v>
      </c>
      <c r="I174" s="13">
        <v>1.3026852500000001</v>
      </c>
      <c r="J174" s="26" t="s">
        <v>853</v>
      </c>
      <c r="K174" s="13" t="s">
        <v>831</v>
      </c>
      <c r="L174" s="24">
        <v>12526.895127118643</v>
      </c>
      <c r="M174" s="24">
        <v>15.632223</v>
      </c>
      <c r="N174" s="24">
        <v>2072.41211785</v>
      </c>
    </row>
    <row r="175" spans="6:14">
      <c r="F175" s="12">
        <v>172</v>
      </c>
      <c r="G175" s="12">
        <v>453950</v>
      </c>
      <c r="H175" s="22" t="s">
        <v>379</v>
      </c>
      <c r="I175" s="13">
        <v>1.2935657500000002</v>
      </c>
      <c r="J175" s="26" t="s">
        <v>832</v>
      </c>
      <c r="K175" s="13" t="s">
        <v>828</v>
      </c>
      <c r="L175" s="24">
        <v>10631.730057803468</v>
      </c>
      <c r="M175" s="24">
        <v>15.522789</v>
      </c>
      <c r="N175" s="24">
        <v>1526.8955495</v>
      </c>
    </row>
    <row r="176" spans="6:14">
      <c r="F176" s="12">
        <v>173</v>
      </c>
      <c r="G176" s="12">
        <v>325010</v>
      </c>
      <c r="H176" s="22" t="s">
        <v>554</v>
      </c>
      <c r="I176" s="13">
        <v>1.2755745000000001</v>
      </c>
      <c r="J176" s="26" t="s">
        <v>838</v>
      </c>
      <c r="K176" s="13" t="s">
        <v>831</v>
      </c>
      <c r="L176" s="24">
        <v>13966.081461864407</v>
      </c>
      <c r="M176" s="24">
        <v>15.306894</v>
      </c>
      <c r="N176" s="24">
        <v>2073.6458545</v>
      </c>
    </row>
    <row r="177" spans="6:14">
      <c r="F177" s="12">
        <v>174</v>
      </c>
      <c r="G177" s="12">
        <v>466920</v>
      </c>
      <c r="H177" s="22" t="s">
        <v>270</v>
      </c>
      <c r="I177" s="13">
        <v>1.2490437500000002</v>
      </c>
      <c r="J177" s="26" t="s">
        <v>848</v>
      </c>
      <c r="K177" s="13" t="s">
        <v>844</v>
      </c>
      <c r="L177" s="24">
        <v>8998.3960784313731</v>
      </c>
      <c r="M177" s="24">
        <v>14.988524999999999</v>
      </c>
      <c r="N177" s="24">
        <v>1341.9140711</v>
      </c>
    </row>
    <row r="178" spans="6:14">
      <c r="F178" s="12">
        <v>175</v>
      </c>
      <c r="G178" s="12">
        <v>102970</v>
      </c>
      <c r="H178" s="22" t="s">
        <v>30</v>
      </c>
      <c r="I178" s="13">
        <v>1.2398235833333335</v>
      </c>
      <c r="J178" s="26" t="s">
        <v>848</v>
      </c>
      <c r="K178" s="13" t="s">
        <v>831</v>
      </c>
      <c r="L178" s="24">
        <v>6137.2186228813562</v>
      </c>
      <c r="M178" s="24">
        <v>14.877883000000001</v>
      </c>
      <c r="N178" s="24">
        <v>917.32955701000003</v>
      </c>
    </row>
    <row r="179" spans="6:14">
      <c r="F179" s="12">
        <v>176</v>
      </c>
      <c r="G179" s="12">
        <v>411060</v>
      </c>
      <c r="H179" s="22" t="s">
        <v>132</v>
      </c>
      <c r="I179" s="13">
        <v>1.2369035833333335</v>
      </c>
      <c r="J179" s="26" t="s">
        <v>863</v>
      </c>
      <c r="K179" s="13" t="s">
        <v>839</v>
      </c>
      <c r="L179" s="24">
        <v>11686.979343220339</v>
      </c>
      <c r="M179" s="24">
        <v>14.842843</v>
      </c>
      <c r="N179" s="24">
        <v>1751.1773644</v>
      </c>
    </row>
    <row r="180" spans="6:14">
      <c r="F180" s="12">
        <v>177</v>
      </c>
      <c r="G180" s="12">
        <v>456680</v>
      </c>
      <c r="H180" s="22" t="s">
        <v>314</v>
      </c>
      <c r="I180" s="13">
        <v>1.2135570833333336</v>
      </c>
      <c r="J180" s="26" t="s">
        <v>854</v>
      </c>
      <c r="K180" s="13" t="s">
        <v>828</v>
      </c>
      <c r="L180" s="24">
        <v>7425.9693666666672</v>
      </c>
      <c r="M180" s="24">
        <v>14.562685</v>
      </c>
      <c r="N180" s="24">
        <v>1199.1950357999999</v>
      </c>
    </row>
    <row r="181" spans="6:14">
      <c r="F181" s="12">
        <v>178</v>
      </c>
      <c r="G181" s="12">
        <v>137610</v>
      </c>
      <c r="H181" s="22" t="s">
        <v>679</v>
      </c>
      <c r="I181" s="13">
        <v>1.2121065833333335</v>
      </c>
      <c r="J181" s="26" t="s">
        <v>829</v>
      </c>
      <c r="K181" s="13" t="s">
        <v>828</v>
      </c>
      <c r="L181" s="24">
        <v>7357.2302966101697</v>
      </c>
      <c r="M181" s="24">
        <v>14.545279000000001</v>
      </c>
      <c r="N181" s="24">
        <v>1072.2191</v>
      </c>
    </row>
    <row r="182" spans="6:14">
      <c r="F182" s="12">
        <v>179</v>
      </c>
      <c r="G182" s="12">
        <v>385600</v>
      </c>
      <c r="H182" s="22" t="s">
        <v>444</v>
      </c>
      <c r="I182" s="13">
        <v>1.2112685000000003</v>
      </c>
      <c r="J182" s="26" t="s">
        <v>845</v>
      </c>
      <c r="K182" s="13" t="s">
        <v>839</v>
      </c>
      <c r="L182" s="24">
        <v>11603.603474576272</v>
      </c>
      <c r="M182" s="24">
        <v>14.535221999999999</v>
      </c>
      <c r="N182" s="24">
        <v>1974.6173397</v>
      </c>
    </row>
    <row r="183" spans="6:14">
      <c r="F183" s="12">
        <v>180</v>
      </c>
      <c r="G183" s="12">
        <v>394660</v>
      </c>
      <c r="H183" s="22" t="s">
        <v>282</v>
      </c>
      <c r="I183" s="13">
        <v>1.203697</v>
      </c>
      <c r="J183" s="26" t="s">
        <v>854</v>
      </c>
      <c r="K183" s="13" t="s">
        <v>828</v>
      </c>
      <c r="L183" s="24">
        <v>10130.98904661017</v>
      </c>
      <c r="M183" s="24">
        <v>14.444364</v>
      </c>
      <c r="N183" s="24">
        <v>1490.5021715</v>
      </c>
    </row>
    <row r="184" spans="6:14">
      <c r="F184" s="12">
        <v>181</v>
      </c>
      <c r="G184" s="12">
        <v>261070</v>
      </c>
      <c r="H184" s="22" t="s">
        <v>224</v>
      </c>
      <c r="I184" s="13">
        <v>1.1942767500000002</v>
      </c>
      <c r="J184" s="26" t="s">
        <v>848</v>
      </c>
      <c r="K184" s="13" t="s">
        <v>828</v>
      </c>
      <c r="L184" s="24">
        <v>7444.3007838983058</v>
      </c>
      <c r="M184" s="24">
        <v>14.331321000000001</v>
      </c>
      <c r="N184" s="24">
        <v>1092.4037255999999</v>
      </c>
    </row>
    <row r="185" spans="6:14">
      <c r="F185" s="12">
        <v>182</v>
      </c>
      <c r="G185" s="12">
        <v>463250</v>
      </c>
      <c r="H185" s="22" t="s">
        <v>288</v>
      </c>
      <c r="I185" s="13">
        <v>1.188898</v>
      </c>
      <c r="J185" s="26" t="s">
        <v>848</v>
      </c>
      <c r="K185" s="13" t="s">
        <v>828</v>
      </c>
      <c r="L185" s="24">
        <v>10472.92918367347</v>
      </c>
      <c r="M185" s="24">
        <v>14.266776</v>
      </c>
      <c r="N185" s="24">
        <v>1511.7951410000001</v>
      </c>
    </row>
    <row r="186" spans="6:14">
      <c r="F186" s="12">
        <v>183</v>
      </c>
      <c r="G186" s="12">
        <v>102960</v>
      </c>
      <c r="H186" s="22" t="s">
        <v>90</v>
      </c>
      <c r="I186" s="13">
        <v>1.1605085000000002</v>
      </c>
      <c r="J186" s="26" t="s">
        <v>848</v>
      </c>
      <c r="K186" s="13" t="s">
        <v>831</v>
      </c>
      <c r="L186" s="24">
        <v>6544.475677966102</v>
      </c>
      <c r="M186" s="24">
        <v>13.926102</v>
      </c>
      <c r="N186" s="24">
        <v>935.88694312999996</v>
      </c>
    </row>
    <row r="187" spans="6:14">
      <c r="F187" s="12">
        <v>184</v>
      </c>
      <c r="G187" s="12">
        <v>300640</v>
      </c>
      <c r="H187" s="22" t="s">
        <v>399</v>
      </c>
      <c r="I187" s="13">
        <v>1.15288875</v>
      </c>
      <c r="J187" s="26" t="s">
        <v>848</v>
      </c>
      <c r="K187" s="13" t="s">
        <v>837</v>
      </c>
      <c r="L187" s="24">
        <v>9829.1899576271189</v>
      </c>
      <c r="M187" s="24">
        <v>13.834664999999999</v>
      </c>
      <c r="N187" s="24">
        <v>1330.2204827999999</v>
      </c>
    </row>
    <row r="188" spans="6:14">
      <c r="F188" s="12">
        <v>185</v>
      </c>
      <c r="G188" s="12">
        <v>412770</v>
      </c>
      <c r="H188" s="22" t="s">
        <v>647</v>
      </c>
      <c r="I188" s="13">
        <v>1.137788</v>
      </c>
      <c r="J188" s="26" t="s">
        <v>853</v>
      </c>
      <c r="K188" s="13" t="s">
        <v>828</v>
      </c>
      <c r="L188" s="24">
        <v>7033.0914194915249</v>
      </c>
      <c r="M188" s="24">
        <v>13.653456</v>
      </c>
      <c r="N188" s="24">
        <v>969.28182064999999</v>
      </c>
    </row>
    <row r="189" spans="6:14">
      <c r="F189" s="12">
        <v>186</v>
      </c>
      <c r="G189" s="12">
        <v>447820</v>
      </c>
      <c r="H189" s="22" t="s">
        <v>23</v>
      </c>
      <c r="I189" s="13">
        <v>1.1373015</v>
      </c>
      <c r="J189" s="26" t="s">
        <v>835</v>
      </c>
      <c r="K189" s="13" t="s">
        <v>828</v>
      </c>
      <c r="L189" s="24">
        <v>52746.706228813557</v>
      </c>
      <c r="M189" s="24">
        <v>13.647618</v>
      </c>
      <c r="N189" s="24">
        <v>7165.7569143000001</v>
      </c>
    </row>
    <row r="190" spans="6:14">
      <c r="F190" s="12">
        <v>187</v>
      </c>
      <c r="G190" s="12">
        <v>454320</v>
      </c>
      <c r="H190" s="22" t="s">
        <v>400</v>
      </c>
      <c r="I190" s="13">
        <v>1.1254353333333336</v>
      </c>
      <c r="J190" s="26" t="s">
        <v>848</v>
      </c>
      <c r="K190" s="13" t="s">
        <v>849</v>
      </c>
      <c r="L190" s="24">
        <v>10848.9045398773</v>
      </c>
      <c r="M190" s="24">
        <v>13.505224</v>
      </c>
      <c r="N190" s="24">
        <v>1413.48516485</v>
      </c>
    </row>
    <row r="191" spans="6:14">
      <c r="F191" s="12">
        <v>188</v>
      </c>
      <c r="G191" s="12">
        <v>451530</v>
      </c>
      <c r="H191" s="22" t="s">
        <v>544</v>
      </c>
      <c r="I191" s="13">
        <v>1.1209294999999999</v>
      </c>
      <c r="J191" s="26" t="s">
        <v>835</v>
      </c>
      <c r="K191" s="13" t="s">
        <v>828</v>
      </c>
      <c r="L191" s="24">
        <v>45468.93414351852</v>
      </c>
      <c r="M191" s="24">
        <v>13.451154000000001</v>
      </c>
      <c r="N191" s="24">
        <v>6241.3126032500004</v>
      </c>
    </row>
    <row r="192" spans="6:14">
      <c r="F192" s="12">
        <v>189</v>
      </c>
      <c r="G192" s="12">
        <v>140700</v>
      </c>
      <c r="H192" s="22" t="s">
        <v>620</v>
      </c>
      <c r="I192" s="13">
        <v>1.1202241666666668</v>
      </c>
      <c r="J192" s="26" t="s">
        <v>848</v>
      </c>
      <c r="K192" s="13" t="s">
        <v>831</v>
      </c>
      <c r="L192" s="24">
        <v>7685.4552118644069</v>
      </c>
      <c r="M192" s="24">
        <v>13.442690000000001</v>
      </c>
      <c r="N192" s="24">
        <v>1042.3023956899999</v>
      </c>
    </row>
    <row r="193" spans="6:14">
      <c r="F193" s="12">
        <v>190</v>
      </c>
      <c r="G193" s="12">
        <v>241180</v>
      </c>
      <c r="H193" s="22" t="s">
        <v>718</v>
      </c>
      <c r="I193" s="13">
        <v>1.1200317500000001</v>
      </c>
      <c r="J193" s="26" t="s">
        <v>832</v>
      </c>
      <c r="K193" s="13" t="s">
        <v>828</v>
      </c>
      <c r="L193" s="24">
        <v>17059.758665254238</v>
      </c>
      <c r="M193" s="24">
        <v>13.440381</v>
      </c>
      <c r="N193" s="24">
        <v>2374.1759892999999</v>
      </c>
    </row>
    <row r="194" spans="6:14">
      <c r="F194" s="12">
        <v>191</v>
      </c>
      <c r="G194" s="12">
        <v>105190</v>
      </c>
      <c r="H194" s="22" t="s">
        <v>345</v>
      </c>
      <c r="I194" s="13">
        <v>1.0975945</v>
      </c>
      <c r="J194" s="26" t="s">
        <v>840</v>
      </c>
      <c r="K194" s="13" t="s">
        <v>839</v>
      </c>
      <c r="L194" s="24">
        <v>33373.775783898302</v>
      </c>
      <c r="M194" s="24">
        <v>13.171134</v>
      </c>
      <c r="N194" s="24">
        <v>4418.0824531999997</v>
      </c>
    </row>
    <row r="195" spans="6:14">
      <c r="F195" s="12">
        <v>192</v>
      </c>
      <c r="G195" s="12">
        <v>411420</v>
      </c>
      <c r="H195" s="22" t="s">
        <v>515</v>
      </c>
      <c r="I195" s="13">
        <v>1.08318</v>
      </c>
      <c r="J195" s="26" t="s">
        <v>853</v>
      </c>
      <c r="K195" s="13" t="s">
        <v>831</v>
      </c>
      <c r="L195" s="24">
        <v>7560.2539618644068</v>
      </c>
      <c r="M195" s="24">
        <v>12.99816</v>
      </c>
      <c r="N195" s="24">
        <v>906.43348334999996</v>
      </c>
    </row>
    <row r="196" spans="6:14">
      <c r="F196" s="12">
        <v>193</v>
      </c>
      <c r="G196" s="12">
        <v>219390</v>
      </c>
      <c r="H196" s="22" t="s">
        <v>784</v>
      </c>
      <c r="I196" s="13">
        <v>1.0457264166666667</v>
      </c>
      <c r="J196" s="26" t="s">
        <v>854</v>
      </c>
      <c r="K196" s="13" t="s">
        <v>837</v>
      </c>
      <c r="L196" s="24">
        <v>6203.6725211864414</v>
      </c>
      <c r="M196" s="24">
        <v>12.548717</v>
      </c>
      <c r="N196" s="24">
        <v>792.54543584999999</v>
      </c>
    </row>
    <row r="197" spans="6:14">
      <c r="F197" s="12">
        <v>194</v>
      </c>
      <c r="G197" s="12">
        <v>429000</v>
      </c>
      <c r="H197" s="22" t="s">
        <v>525</v>
      </c>
      <c r="I197" s="13">
        <v>1.0266511666666667</v>
      </c>
      <c r="J197" s="26" t="s">
        <v>843</v>
      </c>
      <c r="K197" s="13" t="s">
        <v>828</v>
      </c>
      <c r="L197" s="24">
        <v>10217.465826271187</v>
      </c>
      <c r="M197" s="24">
        <v>12.319813999999999</v>
      </c>
      <c r="N197" s="24">
        <v>1247.0363671</v>
      </c>
    </row>
    <row r="198" spans="6:14">
      <c r="F198" s="12">
        <v>195</v>
      </c>
      <c r="G198" s="12">
        <v>251350</v>
      </c>
      <c r="H198" s="22" t="s">
        <v>58</v>
      </c>
      <c r="I198" s="13">
        <v>1.0243563333333334</v>
      </c>
      <c r="J198" s="26" t="s">
        <v>832</v>
      </c>
      <c r="K198" s="13" t="s">
        <v>831</v>
      </c>
      <c r="L198" s="24">
        <v>21585.386461864407</v>
      </c>
      <c r="M198" s="24">
        <v>12.292275999999999</v>
      </c>
      <c r="N198" s="24">
        <v>2645.7503717499999</v>
      </c>
    </row>
    <row r="199" spans="6:14">
      <c r="F199" s="12">
        <v>196</v>
      </c>
      <c r="G199" s="12">
        <v>452440</v>
      </c>
      <c r="H199" s="22" t="s">
        <v>794</v>
      </c>
      <c r="I199" s="13">
        <v>1.0119385833333334</v>
      </c>
      <c r="J199" s="26" t="s">
        <v>838</v>
      </c>
      <c r="K199" s="13" t="s">
        <v>864</v>
      </c>
      <c r="L199" s="24">
        <v>10985.813712871288</v>
      </c>
      <c r="M199" s="24">
        <v>12.143262999999999</v>
      </c>
      <c r="N199" s="24">
        <v>1308.0525829000001</v>
      </c>
    </row>
    <row r="200" spans="6:14">
      <c r="F200" s="12">
        <v>197</v>
      </c>
      <c r="G200" s="12">
        <v>464310</v>
      </c>
      <c r="H200" s="22" t="s">
        <v>214</v>
      </c>
      <c r="I200" s="13">
        <v>1.003595</v>
      </c>
      <c r="J200" s="26" t="s">
        <v>853</v>
      </c>
      <c r="K200" s="13" t="s">
        <v>828</v>
      </c>
      <c r="L200" s="24">
        <v>9634.1345121951217</v>
      </c>
      <c r="M200" s="24">
        <v>12.043139999999999</v>
      </c>
      <c r="N200" s="24">
        <v>1189.6386074500001</v>
      </c>
    </row>
    <row r="201" spans="6:14">
      <c r="F201" s="12">
        <v>198</v>
      </c>
      <c r="G201" s="12">
        <v>469070</v>
      </c>
      <c r="H201" s="22" t="s">
        <v>671</v>
      </c>
      <c r="I201" s="13">
        <v>1.0034738333333333</v>
      </c>
      <c r="J201" s="26" t="s">
        <v>848</v>
      </c>
      <c r="K201" s="13" t="s">
        <v>837</v>
      </c>
      <c r="L201" s="24">
        <v>10779.136666666667</v>
      </c>
      <c r="M201" s="24">
        <v>12.041686</v>
      </c>
      <c r="N201" s="24">
        <v>1338.7856013999999</v>
      </c>
    </row>
    <row r="202" spans="6:14">
      <c r="F202" s="12">
        <v>199</v>
      </c>
      <c r="G202" s="12">
        <v>219480</v>
      </c>
      <c r="H202" s="22" t="s">
        <v>663</v>
      </c>
      <c r="I202" s="13">
        <v>0.97719883333333335</v>
      </c>
      <c r="J202" s="26" t="s">
        <v>854</v>
      </c>
      <c r="K202" s="13" t="s">
        <v>831</v>
      </c>
      <c r="L202" s="24">
        <v>20101.964131355933</v>
      </c>
      <c r="M202" s="24">
        <v>11.726386</v>
      </c>
      <c r="N202" s="24">
        <v>2326.4584458499999</v>
      </c>
    </row>
    <row r="203" spans="6:14">
      <c r="F203" s="12">
        <v>200</v>
      </c>
      <c r="G203" s="12">
        <v>195920</v>
      </c>
      <c r="H203" s="22" t="s">
        <v>423</v>
      </c>
      <c r="I203" s="13">
        <v>0.97670191666666673</v>
      </c>
      <c r="J203" s="26" t="s">
        <v>854</v>
      </c>
      <c r="K203" s="13" t="s">
        <v>828</v>
      </c>
      <c r="L203" s="24">
        <v>18355.414851694917</v>
      </c>
      <c r="M203" s="24">
        <v>11.720423</v>
      </c>
      <c r="N203" s="24">
        <v>2249.8915892499999</v>
      </c>
    </row>
    <row r="204" spans="6:14">
      <c r="F204" s="12">
        <v>201</v>
      </c>
      <c r="G204" s="12">
        <v>367770</v>
      </c>
      <c r="H204" s="22" t="s">
        <v>488</v>
      </c>
      <c r="I204" s="13">
        <v>0.96771483333333352</v>
      </c>
      <c r="J204" s="26" t="s">
        <v>848</v>
      </c>
      <c r="K204" s="13" t="s">
        <v>837</v>
      </c>
      <c r="L204" s="24">
        <v>9573.585211864407</v>
      </c>
      <c r="M204" s="24">
        <v>11.612577999999999</v>
      </c>
      <c r="N204" s="24">
        <v>1128.8056252700001</v>
      </c>
    </row>
    <row r="205" spans="6:14">
      <c r="F205" s="12">
        <v>202</v>
      </c>
      <c r="G205" s="12">
        <v>422260</v>
      </c>
      <c r="H205" s="22" t="s">
        <v>780</v>
      </c>
      <c r="I205" s="13">
        <v>0.9654349166666667</v>
      </c>
      <c r="J205" s="26" t="s">
        <v>845</v>
      </c>
      <c r="K205" s="13" t="s">
        <v>864</v>
      </c>
      <c r="L205" s="24">
        <v>8167.840127118644</v>
      </c>
      <c r="M205" s="24">
        <v>11.585219</v>
      </c>
      <c r="N205" s="24">
        <v>944.10926800000004</v>
      </c>
    </row>
    <row r="206" spans="6:14">
      <c r="F206" s="12">
        <v>203</v>
      </c>
      <c r="G206" s="12">
        <v>302450</v>
      </c>
      <c r="H206" s="22" t="s">
        <v>265</v>
      </c>
      <c r="I206" s="13">
        <v>0.94696591666666674</v>
      </c>
      <c r="J206" s="26" t="s">
        <v>840</v>
      </c>
      <c r="K206" s="13" t="s">
        <v>837</v>
      </c>
      <c r="L206" s="24">
        <v>25834.404300847458</v>
      </c>
      <c r="M206" s="24">
        <v>11.363591</v>
      </c>
      <c r="N206" s="24">
        <v>2913.41974071</v>
      </c>
    </row>
    <row r="207" spans="6:14">
      <c r="F207" s="12">
        <v>204</v>
      </c>
      <c r="G207" s="12">
        <v>455030</v>
      </c>
      <c r="H207" s="22" t="s">
        <v>411</v>
      </c>
      <c r="I207" s="13">
        <v>0.93800591666666677</v>
      </c>
      <c r="J207" s="26" t="s">
        <v>856</v>
      </c>
      <c r="K207" s="13" t="s">
        <v>831</v>
      </c>
      <c r="L207" s="24">
        <v>10310.25465317919</v>
      </c>
      <c r="M207" s="24">
        <v>11.256071</v>
      </c>
      <c r="N207" s="24">
        <v>1154.9809258499999</v>
      </c>
    </row>
    <row r="208" spans="6:14">
      <c r="F208" s="12">
        <v>205</v>
      </c>
      <c r="G208" s="12">
        <v>414780</v>
      </c>
      <c r="H208" s="22" t="s">
        <v>646</v>
      </c>
      <c r="I208" s="13">
        <v>0.9105179166666667</v>
      </c>
      <c r="J208" s="26" t="s">
        <v>854</v>
      </c>
      <c r="K208" s="13" t="s">
        <v>828</v>
      </c>
      <c r="L208" s="24">
        <v>7281.3435593220338</v>
      </c>
      <c r="M208" s="24">
        <v>10.926214999999999</v>
      </c>
      <c r="N208" s="24">
        <v>809.67693250000002</v>
      </c>
    </row>
    <row r="209" spans="6:14">
      <c r="F209" s="12">
        <v>206</v>
      </c>
      <c r="G209" s="12">
        <v>455890</v>
      </c>
      <c r="H209" s="22" t="s">
        <v>67</v>
      </c>
      <c r="I209" s="13">
        <v>0.88383966666666669</v>
      </c>
      <c r="J209" s="26" t="s">
        <v>857</v>
      </c>
      <c r="K209" s="13" t="s">
        <v>837</v>
      </c>
      <c r="L209" s="24">
        <v>50636.515299999999</v>
      </c>
      <c r="M209" s="24">
        <v>10.606076</v>
      </c>
      <c r="N209" s="24">
        <v>5390.4984029999996</v>
      </c>
    </row>
    <row r="210" spans="6:14">
      <c r="F210" s="12">
        <v>207</v>
      </c>
      <c r="G210" s="12">
        <v>419890</v>
      </c>
      <c r="H210" s="22" t="s">
        <v>475</v>
      </c>
      <c r="I210" s="13">
        <v>0.88382500000000008</v>
      </c>
      <c r="J210" s="26" t="s">
        <v>835</v>
      </c>
      <c r="K210" s="13" t="s">
        <v>855</v>
      </c>
      <c r="L210" s="24">
        <v>102669.23508474577</v>
      </c>
      <c r="M210" s="24">
        <v>10.6059</v>
      </c>
      <c r="N210" s="24">
        <v>10815.5638853</v>
      </c>
    </row>
    <row r="211" spans="6:14">
      <c r="F211" s="12">
        <v>208</v>
      </c>
      <c r="G211" s="12">
        <v>367760</v>
      </c>
      <c r="H211" s="22" t="s">
        <v>688</v>
      </c>
      <c r="I211" s="13">
        <v>0.87998708333333342</v>
      </c>
      <c r="J211" s="26" t="s">
        <v>848</v>
      </c>
      <c r="K211" s="13" t="s">
        <v>837</v>
      </c>
      <c r="L211" s="24">
        <v>9159.0955932203397</v>
      </c>
      <c r="M211" s="24">
        <v>10.559844999999999</v>
      </c>
      <c r="N211" s="24">
        <v>999.29486784999995</v>
      </c>
    </row>
    <row r="212" spans="6:14">
      <c r="F212" s="12">
        <v>209</v>
      </c>
      <c r="G212" s="12">
        <v>468380</v>
      </c>
      <c r="H212" s="22" t="s">
        <v>740</v>
      </c>
      <c r="I212" s="13">
        <v>0.8786871666666668</v>
      </c>
      <c r="J212" s="26" t="s">
        <v>856</v>
      </c>
      <c r="K212" s="13" t="s">
        <v>831</v>
      </c>
      <c r="L212" s="24">
        <v>10000.879523809524</v>
      </c>
      <c r="M212" s="24">
        <v>10.544245999999999</v>
      </c>
      <c r="N212" s="24">
        <v>1054.63563135</v>
      </c>
    </row>
    <row r="213" spans="6:14">
      <c r="F213" s="12">
        <v>210</v>
      </c>
      <c r="G213" s="12">
        <v>464610</v>
      </c>
      <c r="H213" s="22" t="s">
        <v>447</v>
      </c>
      <c r="I213" s="13">
        <v>0.86107075000000011</v>
      </c>
      <c r="J213" s="26" t="s">
        <v>848</v>
      </c>
      <c r="K213" s="13" t="s">
        <v>844</v>
      </c>
      <c r="L213" s="24">
        <v>9451.7228481012662</v>
      </c>
      <c r="M213" s="24">
        <v>10.332849</v>
      </c>
      <c r="N213" s="24">
        <v>982.5498351</v>
      </c>
    </row>
    <row r="214" spans="6:14">
      <c r="F214" s="12">
        <v>211</v>
      </c>
      <c r="G214" s="12">
        <v>140710</v>
      </c>
      <c r="H214" s="22" t="s">
        <v>115</v>
      </c>
      <c r="I214" s="13">
        <v>0.85650558333333349</v>
      </c>
      <c r="J214" s="26" t="s">
        <v>848</v>
      </c>
      <c r="K214" s="13" t="s">
        <v>831</v>
      </c>
      <c r="L214" s="24">
        <v>4589.4204449152548</v>
      </c>
      <c r="M214" s="24">
        <v>10.278067</v>
      </c>
      <c r="N214" s="24">
        <v>469.90901445999998</v>
      </c>
    </row>
    <row r="215" spans="6:14">
      <c r="F215" s="12">
        <v>212</v>
      </c>
      <c r="G215" s="12">
        <v>433500</v>
      </c>
      <c r="H215" s="22" t="s">
        <v>693</v>
      </c>
      <c r="I215" s="13">
        <v>0.84928750000000008</v>
      </c>
      <c r="J215" s="26" t="s">
        <v>838</v>
      </c>
      <c r="K215" s="13" t="s">
        <v>839</v>
      </c>
      <c r="L215" s="24">
        <v>11314.785699152542</v>
      </c>
      <c r="M215" s="24">
        <v>10.19145</v>
      </c>
      <c r="N215" s="24">
        <v>1207.8787559</v>
      </c>
    </row>
    <row r="216" spans="6:14">
      <c r="F216" s="12">
        <v>213</v>
      </c>
      <c r="G216" s="12">
        <v>225030</v>
      </c>
      <c r="H216" s="22" t="s">
        <v>478</v>
      </c>
      <c r="I216" s="13">
        <v>0.84475533333333341</v>
      </c>
      <c r="J216" s="26" t="s">
        <v>854</v>
      </c>
      <c r="K216" s="13" t="s">
        <v>828</v>
      </c>
      <c r="L216" s="24">
        <v>3804.4162923728813</v>
      </c>
      <c r="M216" s="24">
        <v>10.137064000000001</v>
      </c>
      <c r="N216" s="24">
        <v>384.26031004999999</v>
      </c>
    </row>
    <row r="217" spans="6:14">
      <c r="F217" s="12">
        <v>214</v>
      </c>
      <c r="G217" s="12">
        <v>414270</v>
      </c>
      <c r="H217" s="22" t="s">
        <v>633</v>
      </c>
      <c r="I217" s="13">
        <v>0.8328464166666667</v>
      </c>
      <c r="J217" s="26" t="s">
        <v>853</v>
      </c>
      <c r="K217" s="13" t="s">
        <v>839</v>
      </c>
      <c r="L217" s="24">
        <v>8772.8831355932198</v>
      </c>
      <c r="M217" s="24">
        <v>9.9941569999999995</v>
      </c>
      <c r="N217" s="24">
        <v>893.01112049999995</v>
      </c>
    </row>
    <row r="218" spans="6:14">
      <c r="F218" s="12">
        <v>215</v>
      </c>
      <c r="G218" s="12">
        <v>457700</v>
      </c>
      <c r="H218" s="22" t="s">
        <v>421</v>
      </c>
      <c r="I218" s="13">
        <v>0.83237875000000017</v>
      </c>
      <c r="J218" s="26" t="s">
        <v>835</v>
      </c>
      <c r="K218" s="13" t="s">
        <v>831</v>
      </c>
      <c r="L218" s="24">
        <v>9783.8912132352943</v>
      </c>
      <c r="M218" s="24">
        <v>9.9885450000000002</v>
      </c>
      <c r="N218" s="24">
        <v>964.65780429999995</v>
      </c>
    </row>
    <row r="219" spans="6:14">
      <c r="F219" s="12">
        <v>216</v>
      </c>
      <c r="G219" s="12">
        <v>454180</v>
      </c>
      <c r="H219" s="22" t="s">
        <v>419</v>
      </c>
      <c r="I219" s="13">
        <v>0.81780100000000011</v>
      </c>
      <c r="J219" s="26" t="s">
        <v>853</v>
      </c>
      <c r="K219" s="13" t="s">
        <v>855</v>
      </c>
      <c r="L219" s="24">
        <v>8639.3244797687857</v>
      </c>
      <c r="M219" s="24">
        <v>9.8136119999999991</v>
      </c>
      <c r="N219" s="24">
        <v>908.65031884999996</v>
      </c>
    </row>
    <row r="220" spans="6:14">
      <c r="F220" s="12">
        <v>217</v>
      </c>
      <c r="G220" s="12">
        <v>417630</v>
      </c>
      <c r="H220" s="22" t="s">
        <v>798</v>
      </c>
      <c r="I220" s="13">
        <v>0.80372166666666678</v>
      </c>
      <c r="J220" s="26" t="s">
        <v>845</v>
      </c>
      <c r="K220" s="13" t="s">
        <v>828</v>
      </c>
      <c r="L220" s="24">
        <v>10047.36093220339</v>
      </c>
      <c r="M220" s="24">
        <v>9.64466</v>
      </c>
      <c r="N220" s="24">
        <v>965.37104429999999</v>
      </c>
    </row>
    <row r="221" spans="6:14">
      <c r="F221" s="12">
        <v>218</v>
      </c>
      <c r="G221" s="12">
        <v>138540</v>
      </c>
      <c r="H221" s="22" t="s">
        <v>763</v>
      </c>
      <c r="I221" s="13">
        <v>0.77550908333333335</v>
      </c>
      <c r="J221" s="26" t="s">
        <v>858</v>
      </c>
      <c r="K221" s="13" t="s">
        <v>828</v>
      </c>
      <c r="L221" s="24">
        <v>23164.507627118644</v>
      </c>
      <c r="M221" s="24">
        <v>9.3061089999999993</v>
      </c>
      <c r="N221" s="24">
        <v>2184.7153834999999</v>
      </c>
    </row>
    <row r="222" spans="6:14">
      <c r="F222" s="12">
        <v>219</v>
      </c>
      <c r="G222" s="12">
        <v>395150</v>
      </c>
      <c r="H222" s="22" t="s">
        <v>268</v>
      </c>
      <c r="I222" s="13">
        <v>0.76568650000000016</v>
      </c>
      <c r="J222" s="26" t="s">
        <v>848</v>
      </c>
      <c r="K222" s="13" t="s">
        <v>831</v>
      </c>
      <c r="L222" s="24">
        <v>4633.8914830508475</v>
      </c>
      <c r="M222" s="24">
        <v>9.1882380000000001</v>
      </c>
      <c r="N222" s="24">
        <v>423.26113885000001</v>
      </c>
    </row>
    <row r="223" spans="6:14">
      <c r="F223" s="12">
        <v>220</v>
      </c>
      <c r="G223" s="12">
        <v>433330</v>
      </c>
      <c r="H223" s="22" t="s">
        <v>83</v>
      </c>
      <c r="I223" s="13">
        <v>0.7637242500000001</v>
      </c>
      <c r="J223" s="26" t="s">
        <v>832</v>
      </c>
      <c r="K223" s="13" t="s">
        <v>844</v>
      </c>
      <c r="L223" s="24">
        <v>11605.531165254237</v>
      </c>
      <c r="M223" s="24">
        <v>9.1646909999999995</v>
      </c>
      <c r="N223" s="24">
        <v>1027.0098642999999</v>
      </c>
    </row>
    <row r="224" spans="6:14">
      <c r="F224" s="12">
        <v>221</v>
      </c>
      <c r="G224" s="12">
        <v>329650</v>
      </c>
      <c r="H224" s="22" t="s">
        <v>477</v>
      </c>
      <c r="I224" s="13">
        <v>0.72767133333333334</v>
      </c>
      <c r="J224" s="26" t="s">
        <v>830</v>
      </c>
      <c r="K224" s="13" t="s">
        <v>831</v>
      </c>
      <c r="L224" s="24">
        <v>11255.364110169492</v>
      </c>
      <c r="M224" s="24">
        <v>8.732056</v>
      </c>
      <c r="N224" s="24">
        <v>982.80112710000003</v>
      </c>
    </row>
    <row r="225" spans="6:14">
      <c r="F225" s="12">
        <v>222</v>
      </c>
      <c r="G225" s="12">
        <v>101280</v>
      </c>
      <c r="H225" s="22" t="s">
        <v>683</v>
      </c>
      <c r="I225" s="13">
        <v>0.72754875000000008</v>
      </c>
      <c r="J225" s="26" t="s">
        <v>832</v>
      </c>
      <c r="K225" s="13" t="s">
        <v>831</v>
      </c>
      <c r="L225" s="24">
        <v>17104.499936440676</v>
      </c>
      <c r="M225" s="24">
        <v>8.7305849999999996</v>
      </c>
      <c r="N225" s="24">
        <v>1517.2646917500001</v>
      </c>
    </row>
    <row r="226" spans="6:14">
      <c r="F226" s="12">
        <v>223</v>
      </c>
      <c r="G226" s="12">
        <v>195980</v>
      </c>
      <c r="H226" s="22" t="s">
        <v>252</v>
      </c>
      <c r="I226" s="13">
        <v>0.71321916666666674</v>
      </c>
      <c r="J226" s="26" t="s">
        <v>854</v>
      </c>
      <c r="K226" s="13" t="s">
        <v>842</v>
      </c>
      <c r="L226" s="24">
        <v>8993.6622033898293</v>
      </c>
      <c r="M226" s="24">
        <v>8.5586300000000008</v>
      </c>
      <c r="N226" s="24">
        <v>772.3934501</v>
      </c>
    </row>
    <row r="227" spans="6:14">
      <c r="F227" s="12">
        <v>224</v>
      </c>
      <c r="G227" s="12">
        <v>451060</v>
      </c>
      <c r="H227" s="22" t="s">
        <v>59</v>
      </c>
      <c r="I227" s="13">
        <v>0.70149683333333335</v>
      </c>
      <c r="J227" s="26" t="s">
        <v>840</v>
      </c>
      <c r="K227" s="13" t="s">
        <v>871</v>
      </c>
      <c r="L227" s="24">
        <v>10331.249193548389</v>
      </c>
      <c r="M227" s="24">
        <v>8.4179619999999993</v>
      </c>
      <c r="N227" s="24">
        <v>862.19577470000002</v>
      </c>
    </row>
    <row r="228" spans="6:14">
      <c r="F228" s="12">
        <v>225</v>
      </c>
      <c r="G228" s="12">
        <v>458250</v>
      </c>
      <c r="H228" s="22" t="s">
        <v>666</v>
      </c>
      <c r="I228" s="13">
        <v>0.68817883333333341</v>
      </c>
      <c r="J228" s="26" t="s">
        <v>856</v>
      </c>
      <c r="K228" s="13" t="s">
        <v>828</v>
      </c>
      <c r="L228" s="24">
        <v>46053.864154411771</v>
      </c>
      <c r="M228" s="24">
        <v>8.258146</v>
      </c>
      <c r="N228" s="24">
        <v>3724.6653956499999</v>
      </c>
    </row>
    <row r="229" spans="6:14">
      <c r="F229" s="12">
        <v>226</v>
      </c>
      <c r="G229" s="12">
        <v>275750</v>
      </c>
      <c r="H229" s="22" t="s">
        <v>329</v>
      </c>
      <c r="I229" s="13">
        <v>0.68682233333333342</v>
      </c>
      <c r="J229" s="26" t="s">
        <v>836</v>
      </c>
      <c r="K229" s="13" t="s">
        <v>837</v>
      </c>
      <c r="L229" s="24">
        <v>4349.9698728813564</v>
      </c>
      <c r="M229" s="24">
        <v>8.2418680000000002</v>
      </c>
      <c r="N229" s="24">
        <v>339.88648354999998</v>
      </c>
    </row>
    <row r="230" spans="6:14">
      <c r="F230" s="12">
        <v>227</v>
      </c>
      <c r="G230" s="12">
        <v>461270</v>
      </c>
      <c r="H230" s="22" t="s">
        <v>677</v>
      </c>
      <c r="I230" s="13">
        <v>0.68068533333333336</v>
      </c>
      <c r="J230" s="26" t="s">
        <v>835</v>
      </c>
      <c r="K230" s="13" t="s">
        <v>839</v>
      </c>
      <c r="L230" s="24">
        <v>10069.022195121952</v>
      </c>
      <c r="M230" s="24">
        <v>8.1682240000000004</v>
      </c>
      <c r="N230" s="24">
        <v>823.56907020000006</v>
      </c>
    </row>
    <row r="231" spans="6:14">
      <c r="F231" s="12">
        <v>228</v>
      </c>
      <c r="G231" s="12">
        <v>459560</v>
      </c>
      <c r="H231" s="22" t="s">
        <v>63</v>
      </c>
      <c r="I231" s="13">
        <v>0.66023275000000015</v>
      </c>
      <c r="J231" s="26" t="s">
        <v>854</v>
      </c>
      <c r="K231" s="13" t="s">
        <v>831</v>
      </c>
      <c r="L231" s="24">
        <v>10507.080267175572</v>
      </c>
      <c r="M231" s="24">
        <v>7.9227930000000004</v>
      </c>
      <c r="N231" s="24">
        <v>840.68390735000003</v>
      </c>
    </row>
    <row r="232" spans="6:14">
      <c r="F232" s="12">
        <v>229</v>
      </c>
      <c r="G232" s="12">
        <v>195930</v>
      </c>
      <c r="H232" s="22" t="s">
        <v>707</v>
      </c>
      <c r="I232" s="13">
        <v>0.65659716666666679</v>
      </c>
      <c r="J232" s="26" t="s">
        <v>854</v>
      </c>
      <c r="K232" s="13" t="s">
        <v>828</v>
      </c>
      <c r="L232" s="24">
        <v>15005.244470338983</v>
      </c>
      <c r="M232" s="24">
        <v>7.8791659999999997</v>
      </c>
      <c r="N232" s="24">
        <v>1156.5536195499999</v>
      </c>
    </row>
    <row r="233" spans="6:14">
      <c r="F233" s="12">
        <v>230</v>
      </c>
      <c r="G233" s="12">
        <v>419430</v>
      </c>
      <c r="H233" s="22" t="s">
        <v>626</v>
      </c>
      <c r="I233" s="13">
        <v>0.65634291666666678</v>
      </c>
      <c r="J233" s="26" t="s">
        <v>843</v>
      </c>
      <c r="K233" s="13" t="s">
        <v>831</v>
      </c>
      <c r="L233" s="24">
        <v>7268.4802118644075</v>
      </c>
      <c r="M233" s="24">
        <v>7.8761150000000004</v>
      </c>
      <c r="N233" s="24">
        <v>593.20014189999995</v>
      </c>
    </row>
    <row r="234" spans="6:14">
      <c r="F234" s="12">
        <v>231</v>
      </c>
      <c r="G234" s="12">
        <v>466940</v>
      </c>
      <c r="H234" s="22" t="s">
        <v>82</v>
      </c>
      <c r="I234" s="13">
        <v>0.64651550000000002</v>
      </c>
      <c r="J234" s="26" t="s">
        <v>838</v>
      </c>
      <c r="K234" s="13" t="s">
        <v>828</v>
      </c>
      <c r="L234" s="24">
        <v>9965.4930681818187</v>
      </c>
      <c r="M234" s="24">
        <v>7.7581860000000002</v>
      </c>
      <c r="N234" s="24">
        <v>770.84770994999997</v>
      </c>
    </row>
    <row r="235" spans="6:14">
      <c r="F235" s="12">
        <v>232</v>
      </c>
      <c r="G235" s="12">
        <v>377990</v>
      </c>
      <c r="H235" s="22" t="s">
        <v>127</v>
      </c>
      <c r="I235" s="13">
        <v>0.64602458333333335</v>
      </c>
      <c r="J235" s="26" t="s">
        <v>848</v>
      </c>
      <c r="K235" s="13" t="s">
        <v>828</v>
      </c>
      <c r="L235" s="24">
        <v>9479.0731779661019</v>
      </c>
      <c r="M235" s="24">
        <v>7.7522950000000002</v>
      </c>
      <c r="N235" s="24">
        <v>755.86697864999996</v>
      </c>
    </row>
    <row r="236" spans="6:14">
      <c r="F236" s="12">
        <v>233</v>
      </c>
      <c r="G236" s="12">
        <v>182480</v>
      </c>
      <c r="H236" s="22" t="s">
        <v>781</v>
      </c>
      <c r="I236" s="13">
        <v>0.64476725000000012</v>
      </c>
      <c r="J236" s="26" t="s">
        <v>862</v>
      </c>
      <c r="K236" s="13" t="s">
        <v>828</v>
      </c>
      <c r="L236" s="24">
        <v>11912.432987288135</v>
      </c>
      <c r="M236" s="24">
        <v>7.7372069999999997</v>
      </c>
      <c r="N236" s="24">
        <v>924.71833679999997</v>
      </c>
    </row>
    <row r="237" spans="6:14">
      <c r="F237" s="12">
        <v>234</v>
      </c>
      <c r="G237" s="12">
        <v>385520</v>
      </c>
      <c r="H237" s="22" t="s">
        <v>343</v>
      </c>
      <c r="I237" s="13">
        <v>0.63084383333333338</v>
      </c>
      <c r="J237" s="26" t="s">
        <v>845</v>
      </c>
      <c r="K237" s="13" t="s">
        <v>831</v>
      </c>
      <c r="L237" s="24">
        <v>9553.4683050847452</v>
      </c>
      <c r="M237" s="24">
        <v>7.5701260000000001</v>
      </c>
      <c r="N237" s="24">
        <v>695.69049528000005</v>
      </c>
    </row>
    <row r="238" spans="6:14">
      <c r="F238" s="12">
        <v>235</v>
      </c>
      <c r="G238" s="12">
        <v>456250</v>
      </c>
      <c r="H238" s="22" t="s">
        <v>298</v>
      </c>
      <c r="I238" s="13">
        <v>0.62744233333333332</v>
      </c>
      <c r="J238" s="26" t="s">
        <v>843</v>
      </c>
      <c r="K238" s="13" t="s">
        <v>831</v>
      </c>
      <c r="L238" s="24">
        <v>8885.2063291139239</v>
      </c>
      <c r="M238" s="24">
        <v>7.5293080000000003</v>
      </c>
      <c r="N238" s="24">
        <v>707.48634455000001</v>
      </c>
    </row>
    <row r="239" spans="6:14">
      <c r="F239" s="12">
        <v>236</v>
      </c>
      <c r="G239" s="12">
        <v>308620</v>
      </c>
      <c r="H239" s="22" t="s">
        <v>153</v>
      </c>
      <c r="I239" s="13">
        <v>0.62367850000000002</v>
      </c>
      <c r="J239" s="26" t="s">
        <v>856</v>
      </c>
      <c r="K239" s="13" t="s">
        <v>831</v>
      </c>
      <c r="L239" s="24">
        <v>11062.357733050847</v>
      </c>
      <c r="M239" s="24">
        <v>7.4841420000000003</v>
      </c>
      <c r="N239" s="24">
        <v>834.41708189999997</v>
      </c>
    </row>
    <row r="240" spans="6:14">
      <c r="F240" s="12">
        <v>237</v>
      </c>
      <c r="G240" s="12">
        <v>395170</v>
      </c>
      <c r="H240" s="22" t="s">
        <v>233</v>
      </c>
      <c r="I240" s="13">
        <v>0.61227224999999996</v>
      </c>
      <c r="J240" s="26" t="s">
        <v>848</v>
      </c>
      <c r="K240" s="13" t="s">
        <v>831</v>
      </c>
      <c r="L240" s="24">
        <v>7795.0811228813564</v>
      </c>
      <c r="M240" s="24">
        <v>7.3472670000000004</v>
      </c>
      <c r="N240" s="24">
        <v>576.06587031000004</v>
      </c>
    </row>
    <row r="241" spans="6:14">
      <c r="F241" s="12">
        <v>238</v>
      </c>
      <c r="G241" s="12">
        <v>453540</v>
      </c>
      <c r="H241" s="22" t="s">
        <v>562</v>
      </c>
      <c r="I241" s="13">
        <v>0.61131025000000017</v>
      </c>
      <c r="J241" s="26" t="s">
        <v>835</v>
      </c>
      <c r="K241" s="13" t="s">
        <v>828</v>
      </c>
      <c r="L241" s="24">
        <v>50590.82574585636</v>
      </c>
      <c r="M241" s="24">
        <v>7.3357229999999998</v>
      </c>
      <c r="N241" s="24">
        <v>3706.64470695</v>
      </c>
    </row>
    <row r="242" spans="6:14">
      <c r="F242" s="12">
        <v>239</v>
      </c>
      <c r="G242" s="12">
        <v>466950</v>
      </c>
      <c r="H242" s="22" t="s">
        <v>183</v>
      </c>
      <c r="I242" s="13">
        <v>0.61035174999999997</v>
      </c>
      <c r="J242" s="26" t="s">
        <v>853</v>
      </c>
      <c r="K242" s="13" t="s">
        <v>828</v>
      </c>
      <c r="L242" s="24">
        <v>10105.300000000001</v>
      </c>
      <c r="M242" s="24">
        <v>7.3242209999999996</v>
      </c>
      <c r="N242" s="24">
        <v>724.07702959999995</v>
      </c>
    </row>
    <row r="243" spans="6:14">
      <c r="F243" s="12">
        <v>240</v>
      </c>
      <c r="G243" s="12">
        <v>278240</v>
      </c>
      <c r="H243" s="22" t="s">
        <v>370</v>
      </c>
      <c r="I243" s="13">
        <v>0.60994100000000007</v>
      </c>
      <c r="J243" s="26" t="s">
        <v>861</v>
      </c>
      <c r="K243" s="13" t="s">
        <v>837</v>
      </c>
      <c r="L243" s="24">
        <v>11000.809470338983</v>
      </c>
      <c r="M243" s="24">
        <v>7.3192919999999999</v>
      </c>
      <c r="N243" s="24">
        <v>855.91246675000002</v>
      </c>
    </row>
    <row r="244" spans="6:14">
      <c r="F244" s="12">
        <v>241</v>
      </c>
      <c r="G244" s="12">
        <v>289480</v>
      </c>
      <c r="H244" s="22" t="s">
        <v>524</v>
      </c>
      <c r="I244" s="13">
        <v>0.60628983333333342</v>
      </c>
      <c r="J244" s="26" t="s">
        <v>851</v>
      </c>
      <c r="K244" s="13" t="s">
        <v>828</v>
      </c>
      <c r="L244" s="24">
        <v>8615.0203813559328</v>
      </c>
      <c r="M244" s="24">
        <v>7.2754779999999997</v>
      </c>
      <c r="N244" s="24">
        <v>623.65009135000003</v>
      </c>
    </row>
    <row r="245" spans="6:14">
      <c r="F245" s="12">
        <v>242</v>
      </c>
      <c r="G245" s="12">
        <v>458750</v>
      </c>
      <c r="H245" s="22" t="s">
        <v>242</v>
      </c>
      <c r="I245" s="13">
        <v>0.60242125000000002</v>
      </c>
      <c r="J245" s="26" t="s">
        <v>854</v>
      </c>
      <c r="K245" s="13" t="s">
        <v>828</v>
      </c>
      <c r="L245" s="24">
        <v>10097.251869918699</v>
      </c>
      <c r="M245" s="24">
        <v>7.2290549999999998</v>
      </c>
      <c r="N245" s="24">
        <v>728.46522100000004</v>
      </c>
    </row>
    <row r="246" spans="6:14">
      <c r="F246" s="12">
        <v>243</v>
      </c>
      <c r="G246" s="12">
        <v>99140</v>
      </c>
      <c r="H246" s="22" t="s">
        <v>17</v>
      </c>
      <c r="I246" s="13">
        <v>0.60069058333333336</v>
      </c>
      <c r="J246" s="26" t="s">
        <v>832</v>
      </c>
      <c r="K246" s="13" t="s">
        <v>831</v>
      </c>
      <c r="L246" s="24">
        <v>15878.139872881355</v>
      </c>
      <c r="M246" s="24">
        <v>7.2082870000000003</v>
      </c>
      <c r="N246" s="24">
        <v>1099.9263984500001</v>
      </c>
    </row>
    <row r="247" spans="6:14">
      <c r="F247" s="12">
        <v>244</v>
      </c>
      <c r="G247" s="12">
        <v>461600</v>
      </c>
      <c r="H247" s="22" t="s">
        <v>38</v>
      </c>
      <c r="I247" s="13">
        <v>0.60021833333333341</v>
      </c>
      <c r="J247" s="26" t="s">
        <v>841</v>
      </c>
      <c r="K247" s="13" t="s">
        <v>844</v>
      </c>
      <c r="L247" s="24">
        <v>9366.5121759259255</v>
      </c>
      <c r="M247" s="24">
        <v>7.2026199999999996</v>
      </c>
      <c r="N247" s="24">
        <v>694.35328500000003</v>
      </c>
    </row>
    <row r="248" spans="6:14">
      <c r="F248" s="12">
        <v>245</v>
      </c>
      <c r="G248" s="12">
        <v>407310</v>
      </c>
      <c r="H248" s="22" t="s">
        <v>109</v>
      </c>
      <c r="I248" s="13">
        <v>0.5781951666666667</v>
      </c>
      <c r="J248" s="26" t="s">
        <v>840</v>
      </c>
      <c r="K248" s="13" t="s">
        <v>849</v>
      </c>
      <c r="L248" s="24">
        <v>8258.8668432203394</v>
      </c>
      <c r="M248" s="24">
        <v>6.9383419999999996</v>
      </c>
      <c r="N248" s="24">
        <v>574.02559585999995</v>
      </c>
    </row>
    <row r="249" spans="6:14">
      <c r="F249" s="12">
        <v>246</v>
      </c>
      <c r="G249" s="12">
        <v>363580</v>
      </c>
      <c r="H249" s="22" t="s">
        <v>575</v>
      </c>
      <c r="I249" s="13">
        <v>0.57438616666666675</v>
      </c>
      <c r="J249" s="26" t="s">
        <v>848</v>
      </c>
      <c r="K249" s="13" t="s">
        <v>831</v>
      </c>
      <c r="L249" s="24">
        <v>11828.05218220339</v>
      </c>
      <c r="M249" s="24">
        <v>6.8926340000000001</v>
      </c>
      <c r="N249" s="24">
        <v>806.34590432000005</v>
      </c>
    </row>
    <row r="250" spans="6:14">
      <c r="F250" s="12">
        <v>247</v>
      </c>
      <c r="G250" s="12">
        <v>464600</v>
      </c>
      <c r="H250" s="22" t="s">
        <v>332</v>
      </c>
      <c r="I250" s="13">
        <v>0.56345308333333333</v>
      </c>
      <c r="J250" s="26" t="s">
        <v>848</v>
      </c>
      <c r="K250" s="13" t="s">
        <v>844</v>
      </c>
      <c r="L250" s="24">
        <v>9704.7510759493671</v>
      </c>
      <c r="M250" s="24">
        <v>6.7614369999999999</v>
      </c>
      <c r="N250" s="24">
        <v>661.22435765</v>
      </c>
    </row>
    <row r="251" spans="6:14">
      <c r="F251" s="12">
        <v>248</v>
      </c>
      <c r="G251" s="12">
        <v>395760</v>
      </c>
      <c r="H251" s="22" t="s">
        <v>51</v>
      </c>
      <c r="I251" s="13">
        <v>0.55816866666666676</v>
      </c>
      <c r="J251" s="26" t="s">
        <v>848</v>
      </c>
      <c r="K251" s="13" t="s">
        <v>842</v>
      </c>
      <c r="L251" s="24">
        <v>7857.4607838983056</v>
      </c>
      <c r="M251" s="24">
        <v>6.6980240000000002</v>
      </c>
      <c r="N251" s="24">
        <v>521.15823765000005</v>
      </c>
    </row>
    <row r="252" spans="6:14">
      <c r="F252" s="12">
        <v>249</v>
      </c>
      <c r="G252" s="12">
        <v>390950</v>
      </c>
      <c r="H252" s="22" t="s">
        <v>154</v>
      </c>
      <c r="I252" s="13">
        <v>0.55757266666666672</v>
      </c>
      <c r="J252" s="26" t="s">
        <v>835</v>
      </c>
      <c r="K252" s="13" t="s">
        <v>849</v>
      </c>
      <c r="L252" s="24">
        <v>103474.7159322034</v>
      </c>
      <c r="M252" s="24">
        <v>6.6908719999999997</v>
      </c>
      <c r="N252" s="24">
        <v>6893.3404176000004</v>
      </c>
    </row>
    <row r="253" spans="6:14">
      <c r="F253" s="12">
        <v>250</v>
      </c>
      <c r="G253" s="12">
        <v>266360</v>
      </c>
      <c r="H253" s="22" t="s">
        <v>650</v>
      </c>
      <c r="I253" s="13">
        <v>0.5546585833333334</v>
      </c>
      <c r="J253" s="26" t="s">
        <v>848</v>
      </c>
      <c r="K253" s="13" t="s">
        <v>831</v>
      </c>
      <c r="L253" s="24">
        <v>12897.367224576272</v>
      </c>
      <c r="M253" s="24">
        <v>6.6559030000000003</v>
      </c>
      <c r="N253" s="24">
        <v>880.02979149999999</v>
      </c>
    </row>
    <row r="254" spans="6:14">
      <c r="F254" s="12">
        <v>251</v>
      </c>
      <c r="G254" s="12">
        <v>300610</v>
      </c>
      <c r="H254" s="22" t="s">
        <v>738</v>
      </c>
      <c r="I254" s="13">
        <v>0.54648633333333341</v>
      </c>
      <c r="J254" s="26" t="s">
        <v>848</v>
      </c>
      <c r="K254" s="13" t="s">
        <v>828</v>
      </c>
      <c r="L254" s="24">
        <v>8379.7026483050849</v>
      </c>
      <c r="M254" s="24">
        <v>6.557836</v>
      </c>
      <c r="N254" s="24">
        <v>560.01585639999996</v>
      </c>
    </row>
    <row r="255" spans="6:14">
      <c r="F255" s="12">
        <v>252</v>
      </c>
      <c r="G255" s="12">
        <v>238720</v>
      </c>
      <c r="H255" s="22" t="s">
        <v>757</v>
      </c>
      <c r="I255" s="13">
        <v>0.54401616666666675</v>
      </c>
      <c r="J255" s="26" t="s">
        <v>832</v>
      </c>
      <c r="K255" s="13" t="s">
        <v>839</v>
      </c>
      <c r="L255" s="24">
        <v>20841.35834745763</v>
      </c>
      <c r="M255" s="24">
        <v>6.5281940000000001</v>
      </c>
      <c r="N255" s="24">
        <v>1441.06364865</v>
      </c>
    </row>
    <row r="256" spans="6:14">
      <c r="F256" s="12">
        <v>253</v>
      </c>
      <c r="G256" s="12">
        <v>461910</v>
      </c>
      <c r="H256" s="22" t="s">
        <v>731</v>
      </c>
      <c r="I256" s="13">
        <v>0.5397265</v>
      </c>
      <c r="J256" s="26" t="s">
        <v>854</v>
      </c>
      <c r="K256" s="13" t="s">
        <v>842</v>
      </c>
      <c r="L256" s="24">
        <v>10537.963252427186</v>
      </c>
      <c r="M256" s="24">
        <v>6.476718</v>
      </c>
      <c r="N256" s="24">
        <v>662.07219474999999</v>
      </c>
    </row>
    <row r="257" spans="6:14">
      <c r="F257" s="12">
        <v>254</v>
      </c>
      <c r="G257" s="12">
        <v>285020</v>
      </c>
      <c r="H257" s="22" t="s">
        <v>259</v>
      </c>
      <c r="I257" s="13">
        <v>0.53673625000000014</v>
      </c>
      <c r="J257" s="26" t="s">
        <v>848</v>
      </c>
      <c r="K257" s="13" t="s">
        <v>837</v>
      </c>
      <c r="L257" s="24">
        <v>8923.9556144067792</v>
      </c>
      <c r="M257" s="24">
        <v>6.4408349999999999</v>
      </c>
      <c r="N257" s="24">
        <v>587.58209214999999</v>
      </c>
    </row>
    <row r="258" spans="6:14">
      <c r="F258" s="12">
        <v>255</v>
      </c>
      <c r="G258" s="12">
        <v>371130</v>
      </c>
      <c r="H258" s="22" t="s">
        <v>339</v>
      </c>
      <c r="I258" s="13">
        <v>0.53673216666666679</v>
      </c>
      <c r="J258" s="26" t="s">
        <v>832</v>
      </c>
      <c r="K258" s="13" t="s">
        <v>839</v>
      </c>
      <c r="L258" s="24">
        <v>9646.1732838983044</v>
      </c>
      <c r="M258" s="24">
        <v>6.4407860000000001</v>
      </c>
      <c r="N258" s="24">
        <v>572.19941864999998</v>
      </c>
    </row>
    <row r="259" spans="6:14">
      <c r="F259" s="12">
        <v>256</v>
      </c>
      <c r="G259" s="12">
        <v>253160</v>
      </c>
      <c r="H259" s="22" t="s">
        <v>639</v>
      </c>
      <c r="I259" s="13">
        <v>0.53587300000000004</v>
      </c>
      <c r="J259" s="26" t="s">
        <v>836</v>
      </c>
      <c r="K259" s="13" t="s">
        <v>842</v>
      </c>
      <c r="L259" s="24">
        <v>5489.1819067796605</v>
      </c>
      <c r="M259" s="24">
        <v>6.4304759999999996</v>
      </c>
      <c r="N259" s="24">
        <v>369.73848705</v>
      </c>
    </row>
    <row r="260" spans="6:14">
      <c r="F260" s="12">
        <v>257</v>
      </c>
      <c r="G260" s="12">
        <v>213610</v>
      </c>
      <c r="H260" s="22" t="s">
        <v>649</v>
      </c>
      <c r="I260" s="13">
        <v>0.5346084166666667</v>
      </c>
      <c r="J260" s="26" t="s">
        <v>858</v>
      </c>
      <c r="K260" s="13" t="s">
        <v>831</v>
      </c>
      <c r="L260" s="24">
        <v>8901.628940677967</v>
      </c>
      <c r="M260" s="24">
        <v>6.4153010000000004</v>
      </c>
      <c r="N260" s="24">
        <v>571.05752399999994</v>
      </c>
    </row>
    <row r="261" spans="6:14">
      <c r="F261" s="12">
        <v>258</v>
      </c>
      <c r="G261" s="12">
        <v>451670</v>
      </c>
      <c r="H261" s="22" t="s">
        <v>240</v>
      </c>
      <c r="I261" s="13">
        <v>0.51662383333333339</v>
      </c>
      <c r="J261" s="26" t="s">
        <v>857</v>
      </c>
      <c r="K261" s="13" t="s">
        <v>837</v>
      </c>
      <c r="L261" s="24">
        <v>18073.260024154592</v>
      </c>
      <c r="M261" s="24">
        <v>6.1994860000000003</v>
      </c>
      <c r="N261" s="24">
        <v>1153.55055395</v>
      </c>
    </row>
    <row r="262" spans="6:14">
      <c r="F262" s="12">
        <v>259</v>
      </c>
      <c r="G262" s="12">
        <v>279530</v>
      </c>
      <c r="H262" s="22" t="s">
        <v>791</v>
      </c>
      <c r="I262" s="13">
        <v>0.5161615833333334</v>
      </c>
      <c r="J262" s="26" t="s">
        <v>838</v>
      </c>
      <c r="K262" s="13" t="s">
        <v>831</v>
      </c>
      <c r="L262" s="24">
        <v>9082.4081355932194</v>
      </c>
      <c r="M262" s="24">
        <v>6.1939390000000003</v>
      </c>
      <c r="N262" s="24">
        <v>558.29409596999994</v>
      </c>
    </row>
    <row r="263" spans="6:14">
      <c r="F263" s="12">
        <v>260</v>
      </c>
      <c r="G263" s="12">
        <v>227540</v>
      </c>
      <c r="H263" s="22" t="s">
        <v>640</v>
      </c>
      <c r="I263" s="13">
        <v>0.50716150000000004</v>
      </c>
      <c r="J263" s="26" t="s">
        <v>848</v>
      </c>
      <c r="K263" s="13" t="s">
        <v>828</v>
      </c>
      <c r="L263" s="24">
        <v>16447.133093220338</v>
      </c>
      <c r="M263" s="24">
        <v>6.0859379999999996</v>
      </c>
      <c r="N263" s="24">
        <v>1009.66016111</v>
      </c>
    </row>
    <row r="264" spans="6:14">
      <c r="F264" s="12">
        <v>261</v>
      </c>
      <c r="G264" s="12">
        <v>291630</v>
      </c>
      <c r="H264" s="22" t="s">
        <v>737</v>
      </c>
      <c r="I264" s="13">
        <v>0.50445308333333339</v>
      </c>
      <c r="J264" s="26" t="s">
        <v>861</v>
      </c>
      <c r="K264" s="13" t="s">
        <v>855</v>
      </c>
      <c r="L264" s="24">
        <v>4862.7051694915253</v>
      </c>
      <c r="M264" s="24">
        <v>6.0534369999999997</v>
      </c>
      <c r="N264" s="24">
        <v>302.03680224999999</v>
      </c>
    </row>
    <row r="265" spans="6:14">
      <c r="F265" s="12">
        <v>262</v>
      </c>
      <c r="G265" s="12">
        <v>448310</v>
      </c>
      <c r="H265" s="22" t="s">
        <v>1693</v>
      </c>
      <c r="I265" s="13">
        <v>0.49292616666666667</v>
      </c>
      <c r="J265" s="26">
        <v>448310</v>
      </c>
      <c r="K265" s="13">
        <v>448310</v>
      </c>
      <c r="L265" s="24">
        <v>10239.423777292575</v>
      </c>
      <c r="M265" s="24">
        <v>5.915114</v>
      </c>
      <c r="N265" s="24">
        <v>606.87841330000003</v>
      </c>
    </row>
    <row r="266" spans="6:14">
      <c r="F266" s="12">
        <v>263</v>
      </c>
      <c r="G266" s="12">
        <v>460660</v>
      </c>
      <c r="H266" s="22" t="s">
        <v>705</v>
      </c>
      <c r="I266" s="13">
        <v>0.48995300000000008</v>
      </c>
      <c r="J266" s="26" t="s">
        <v>843</v>
      </c>
      <c r="K266" s="13" t="s">
        <v>837</v>
      </c>
      <c r="L266" s="24">
        <v>9966.0237288135595</v>
      </c>
      <c r="M266" s="24">
        <v>5.8794360000000001</v>
      </c>
      <c r="N266" s="24">
        <v>598.50424974999999</v>
      </c>
    </row>
    <row r="267" spans="6:14">
      <c r="F267" s="12">
        <v>264</v>
      </c>
      <c r="G267" s="12">
        <v>218420</v>
      </c>
      <c r="H267" s="22" t="s">
        <v>71</v>
      </c>
      <c r="I267" s="13">
        <v>0.48600633333333337</v>
      </c>
      <c r="J267" s="26" t="s">
        <v>854</v>
      </c>
      <c r="K267" s="13" t="s">
        <v>831</v>
      </c>
      <c r="L267" s="24">
        <v>12938.961186440678</v>
      </c>
      <c r="M267" s="24">
        <v>5.8320759999999998</v>
      </c>
      <c r="N267" s="24">
        <v>774.92382674999999</v>
      </c>
    </row>
    <row r="268" spans="6:14">
      <c r="F268" s="12">
        <v>265</v>
      </c>
      <c r="G268" s="12">
        <v>326240</v>
      </c>
      <c r="H268" s="22" t="s">
        <v>505</v>
      </c>
      <c r="I268" s="13">
        <v>0.47995275000000004</v>
      </c>
      <c r="J268" s="26" t="s">
        <v>838</v>
      </c>
      <c r="K268" s="13" t="s">
        <v>837</v>
      </c>
      <c r="L268" s="24">
        <v>17564.442669491527</v>
      </c>
      <c r="M268" s="24">
        <v>5.7594329999999996</v>
      </c>
      <c r="N268" s="24">
        <v>1023.3370248</v>
      </c>
    </row>
    <row r="269" spans="6:14">
      <c r="F269" s="12">
        <v>266</v>
      </c>
      <c r="G269" s="12">
        <v>442320</v>
      </c>
      <c r="H269" s="22" t="s">
        <v>556</v>
      </c>
      <c r="I269" s="13">
        <v>0.46650475000000008</v>
      </c>
      <c r="J269" s="26" t="s">
        <v>832</v>
      </c>
      <c r="K269" s="13" t="s">
        <v>837</v>
      </c>
      <c r="L269" s="24">
        <v>10784.38313559322</v>
      </c>
      <c r="M269" s="24">
        <v>5.5980569999999998</v>
      </c>
      <c r="N269" s="24">
        <v>665.97290569999996</v>
      </c>
    </row>
    <row r="270" spans="6:14">
      <c r="F270" s="12">
        <v>267</v>
      </c>
      <c r="G270" s="12">
        <v>69660</v>
      </c>
      <c r="H270" s="22" t="s">
        <v>16</v>
      </c>
      <c r="I270" s="13">
        <v>0.46343516666666673</v>
      </c>
      <c r="J270" s="26" t="s">
        <v>840</v>
      </c>
      <c r="K270" s="13" t="s">
        <v>855</v>
      </c>
      <c r="L270" s="24">
        <v>33108.832118644066</v>
      </c>
      <c r="M270" s="24">
        <v>5.5612219999999999</v>
      </c>
      <c r="N270" s="24">
        <v>1838.0305096</v>
      </c>
    </row>
    <row r="271" spans="6:14">
      <c r="F271" s="12">
        <v>268</v>
      </c>
      <c r="G271" s="12">
        <v>448330</v>
      </c>
      <c r="H271" s="22" t="s">
        <v>617</v>
      </c>
      <c r="I271" s="13">
        <v>0.46289625000000006</v>
      </c>
      <c r="J271" s="26" t="s">
        <v>840</v>
      </c>
      <c r="K271" s="13" t="s">
        <v>831</v>
      </c>
      <c r="L271" s="24">
        <v>10510.240911016948</v>
      </c>
      <c r="M271" s="24">
        <v>5.5547550000000001</v>
      </c>
      <c r="N271" s="24">
        <v>584.68386184999997</v>
      </c>
    </row>
    <row r="272" spans="6:14">
      <c r="F272" s="12">
        <v>269</v>
      </c>
      <c r="G272" s="12">
        <v>319640</v>
      </c>
      <c r="H272" s="22" t="s">
        <v>307</v>
      </c>
      <c r="I272" s="13">
        <v>0.46233775000000005</v>
      </c>
      <c r="J272" s="26" t="s">
        <v>854</v>
      </c>
      <c r="K272" s="13" t="s">
        <v>828</v>
      </c>
      <c r="L272" s="24">
        <v>13433.524639830508</v>
      </c>
      <c r="M272" s="24">
        <v>5.5480530000000003</v>
      </c>
      <c r="N272" s="24">
        <v>749.67412345000002</v>
      </c>
    </row>
    <row r="273" spans="6:14">
      <c r="F273" s="12">
        <v>270</v>
      </c>
      <c r="G273" s="12">
        <v>395750</v>
      </c>
      <c r="H273" s="22" t="s">
        <v>225</v>
      </c>
      <c r="I273" s="13">
        <v>0.45957841666666671</v>
      </c>
      <c r="J273" s="26" t="s">
        <v>848</v>
      </c>
      <c r="K273" s="13" t="s">
        <v>842</v>
      </c>
      <c r="L273" s="24">
        <v>7876.3804661016948</v>
      </c>
      <c r="M273" s="24">
        <v>5.5149410000000003</v>
      </c>
      <c r="N273" s="24">
        <v>431.47240499999998</v>
      </c>
    </row>
    <row r="274" spans="6:14">
      <c r="F274" s="12">
        <v>271</v>
      </c>
      <c r="G274" s="12">
        <v>315930</v>
      </c>
      <c r="H274" s="22" t="s">
        <v>378</v>
      </c>
      <c r="I274" s="13">
        <v>0.45340308333333335</v>
      </c>
      <c r="J274" s="26" t="s">
        <v>838</v>
      </c>
      <c r="K274" s="13" t="s">
        <v>831</v>
      </c>
      <c r="L274" s="24">
        <v>17270.699894067795</v>
      </c>
      <c r="M274" s="24">
        <v>5.4408370000000001</v>
      </c>
      <c r="N274" s="24">
        <v>889.24632259999998</v>
      </c>
    </row>
    <row r="275" spans="6:14">
      <c r="F275" s="12">
        <v>272</v>
      </c>
      <c r="G275" s="12">
        <v>91220</v>
      </c>
      <c r="H275" s="22" t="s">
        <v>165</v>
      </c>
      <c r="I275" s="13">
        <v>0.45219000000000004</v>
      </c>
      <c r="J275" s="26" t="s">
        <v>848</v>
      </c>
      <c r="K275" s="13" t="s">
        <v>828</v>
      </c>
      <c r="L275" s="24">
        <v>6536.4535805084743</v>
      </c>
      <c r="M275" s="24">
        <v>5.4262800000000002</v>
      </c>
      <c r="N275" s="24">
        <v>357.79797693</v>
      </c>
    </row>
    <row r="276" spans="6:14">
      <c r="F276" s="12">
        <v>273</v>
      </c>
      <c r="G276" s="12">
        <v>266410</v>
      </c>
      <c r="H276" s="22" t="s">
        <v>46</v>
      </c>
      <c r="I276" s="13">
        <v>0.44898233333333337</v>
      </c>
      <c r="J276" s="26" t="s">
        <v>848</v>
      </c>
      <c r="K276" s="13" t="s">
        <v>831</v>
      </c>
      <c r="L276" s="24">
        <v>6850.353877118644</v>
      </c>
      <c r="M276" s="24">
        <v>5.3877879999999996</v>
      </c>
      <c r="N276" s="24">
        <v>362.81581855000002</v>
      </c>
    </row>
    <row r="277" spans="6:14">
      <c r="F277" s="12">
        <v>274</v>
      </c>
      <c r="G277" s="12">
        <v>371470</v>
      </c>
      <c r="H277" s="22" t="s">
        <v>328</v>
      </c>
      <c r="I277" s="13">
        <v>0.44891433333333336</v>
      </c>
      <c r="J277" s="26" t="s">
        <v>853</v>
      </c>
      <c r="K277" s="13" t="s">
        <v>828</v>
      </c>
      <c r="L277" s="24">
        <v>6968.6586228813558</v>
      </c>
      <c r="M277" s="24">
        <v>5.3869720000000001</v>
      </c>
      <c r="N277" s="24">
        <v>376.35161364999999</v>
      </c>
    </row>
    <row r="278" spans="6:14">
      <c r="F278" s="12">
        <v>275</v>
      </c>
      <c r="G278" s="12">
        <v>376410</v>
      </c>
      <c r="H278" s="22" t="s">
        <v>651</v>
      </c>
      <c r="I278" s="13">
        <v>0.44628458333333337</v>
      </c>
      <c r="J278" s="26" t="s">
        <v>848</v>
      </c>
      <c r="K278" s="13" t="s">
        <v>828</v>
      </c>
      <c r="L278" s="24">
        <v>8251.679385593221</v>
      </c>
      <c r="M278" s="24">
        <v>5.3554149999999998</v>
      </c>
      <c r="N278" s="24">
        <v>444.3611563</v>
      </c>
    </row>
    <row r="279" spans="6:14">
      <c r="F279" s="12">
        <v>276</v>
      </c>
      <c r="G279" s="12">
        <v>261120</v>
      </c>
      <c r="H279" s="22" t="s">
        <v>641</v>
      </c>
      <c r="I279" s="13">
        <v>0.44613516666666669</v>
      </c>
      <c r="J279" s="26" t="s">
        <v>850</v>
      </c>
      <c r="K279" s="13" t="s">
        <v>828</v>
      </c>
      <c r="L279" s="24">
        <v>6854.1005084745766</v>
      </c>
      <c r="M279" s="24">
        <v>5.3536219999999997</v>
      </c>
      <c r="N279" s="24">
        <v>365.61469714999998</v>
      </c>
    </row>
    <row r="280" spans="6:14">
      <c r="F280" s="12">
        <v>277</v>
      </c>
      <c r="G280" s="12">
        <v>266160</v>
      </c>
      <c r="H280" s="22" t="s">
        <v>258</v>
      </c>
      <c r="I280" s="13">
        <v>0.44286458333333339</v>
      </c>
      <c r="J280" s="26" t="s">
        <v>838</v>
      </c>
      <c r="K280" s="13" t="s">
        <v>837</v>
      </c>
      <c r="L280" s="24">
        <v>11753.125211864406</v>
      </c>
      <c r="M280" s="24">
        <v>5.3143750000000001</v>
      </c>
      <c r="N280" s="24">
        <v>628.86252081999999</v>
      </c>
    </row>
    <row r="281" spans="6:14">
      <c r="F281" s="12">
        <v>278</v>
      </c>
      <c r="G281" s="12">
        <v>105780</v>
      </c>
      <c r="H281" s="22" t="s">
        <v>102</v>
      </c>
      <c r="I281" s="13">
        <v>0.43563083333333336</v>
      </c>
      <c r="J281" s="26" t="s">
        <v>858</v>
      </c>
      <c r="K281" s="13" t="s">
        <v>837</v>
      </c>
      <c r="L281" s="24">
        <v>6288.0672881355931</v>
      </c>
      <c r="M281" s="24">
        <v>5.2275700000000001</v>
      </c>
      <c r="N281" s="24">
        <v>324.25631010000001</v>
      </c>
    </row>
    <row r="282" spans="6:14">
      <c r="F282" s="12">
        <v>279</v>
      </c>
      <c r="G282" s="12">
        <v>284430</v>
      </c>
      <c r="H282" s="22" t="s">
        <v>629</v>
      </c>
      <c r="I282" s="13">
        <v>0.43260325000000005</v>
      </c>
      <c r="J282" s="26" t="s">
        <v>841</v>
      </c>
      <c r="K282" s="13" t="s">
        <v>831</v>
      </c>
      <c r="L282" s="24">
        <v>12060.581122881356</v>
      </c>
      <c r="M282" s="24">
        <v>5.1912390000000004</v>
      </c>
      <c r="N282" s="24">
        <v>626.75058375000003</v>
      </c>
    </row>
    <row r="283" spans="6:14">
      <c r="F283" s="12">
        <v>280</v>
      </c>
      <c r="G283" s="12">
        <v>210780</v>
      </c>
      <c r="H283" s="22" t="s">
        <v>412</v>
      </c>
      <c r="I283" s="13">
        <v>0.43198383333333334</v>
      </c>
      <c r="J283" s="26" t="s">
        <v>845</v>
      </c>
      <c r="K283" s="13" t="s">
        <v>828</v>
      </c>
      <c r="L283" s="24">
        <v>13504.614470338984</v>
      </c>
      <c r="M283" s="24">
        <v>5.1838059999999997</v>
      </c>
      <c r="N283" s="24">
        <v>699.29526432</v>
      </c>
    </row>
    <row r="284" spans="6:14">
      <c r="F284" s="12">
        <v>281</v>
      </c>
      <c r="G284" s="12">
        <v>453630</v>
      </c>
      <c r="H284" s="22" t="s">
        <v>386</v>
      </c>
      <c r="I284" s="13">
        <v>0.42932233333333336</v>
      </c>
      <c r="J284" s="26" t="s">
        <v>853</v>
      </c>
      <c r="K284" s="13" t="s">
        <v>831</v>
      </c>
      <c r="L284" s="24">
        <v>10153.101420765028</v>
      </c>
      <c r="M284" s="24">
        <v>5.1518680000000003</v>
      </c>
      <c r="N284" s="24">
        <v>537.95615659999999</v>
      </c>
    </row>
    <row r="285" spans="6:14">
      <c r="F285" s="12">
        <v>282</v>
      </c>
      <c r="G285" s="12">
        <v>138520</v>
      </c>
      <c r="H285" s="22" t="s">
        <v>169</v>
      </c>
      <c r="I285" s="13">
        <v>0.42776475000000008</v>
      </c>
      <c r="J285" s="26" t="s">
        <v>858</v>
      </c>
      <c r="K285" s="13" t="s">
        <v>828</v>
      </c>
      <c r="L285" s="24">
        <v>11135.930254237288</v>
      </c>
      <c r="M285" s="24">
        <v>5.1331769999999999</v>
      </c>
      <c r="N285" s="24">
        <v>578.90479425000001</v>
      </c>
    </row>
    <row r="286" spans="6:14">
      <c r="F286" s="12">
        <v>283</v>
      </c>
      <c r="G286" s="12">
        <v>469050</v>
      </c>
      <c r="H286" s="22" t="s">
        <v>618</v>
      </c>
      <c r="I286" s="13">
        <v>0.42176566666666671</v>
      </c>
      <c r="J286" s="26" t="s">
        <v>853</v>
      </c>
      <c r="K286" s="13" t="s">
        <v>837</v>
      </c>
      <c r="L286" s="24">
        <v>10797.459230769231</v>
      </c>
      <c r="M286" s="24">
        <v>5.0611879999999996</v>
      </c>
      <c r="N286" s="24">
        <v>536.01945030000002</v>
      </c>
    </row>
    <row r="287" spans="6:14">
      <c r="F287" s="12">
        <v>284</v>
      </c>
      <c r="G287" s="12">
        <v>301410</v>
      </c>
      <c r="H287" s="22" t="s">
        <v>680</v>
      </c>
      <c r="I287" s="13">
        <v>0.42110725000000004</v>
      </c>
      <c r="J287" s="26" t="s">
        <v>836</v>
      </c>
      <c r="K287" s="13" t="s">
        <v>842</v>
      </c>
      <c r="L287" s="24">
        <v>6537.1231144067797</v>
      </c>
      <c r="M287" s="24">
        <v>5.0532870000000001</v>
      </c>
      <c r="N287" s="24">
        <v>315.10891420000002</v>
      </c>
    </row>
    <row r="288" spans="6:14">
      <c r="F288" s="12">
        <v>285</v>
      </c>
      <c r="G288" s="12">
        <v>461450</v>
      </c>
      <c r="H288" s="22" t="s">
        <v>549</v>
      </c>
      <c r="I288" s="13">
        <v>0.41992850000000004</v>
      </c>
      <c r="J288" s="26" t="s">
        <v>840</v>
      </c>
      <c r="K288" s="13" t="s">
        <v>831</v>
      </c>
      <c r="L288" s="24">
        <v>10183.769137931034</v>
      </c>
      <c r="M288" s="24">
        <v>5.039142</v>
      </c>
      <c r="N288" s="24">
        <v>522.31698180000001</v>
      </c>
    </row>
    <row r="289" spans="6:14">
      <c r="F289" s="12">
        <v>286</v>
      </c>
      <c r="G289" s="12">
        <v>267490</v>
      </c>
      <c r="H289" s="22" t="s">
        <v>182</v>
      </c>
      <c r="I289" s="13">
        <v>0.41891791666666667</v>
      </c>
      <c r="J289" s="26" t="s">
        <v>856</v>
      </c>
      <c r="K289" s="13" t="s">
        <v>837</v>
      </c>
      <c r="L289" s="24">
        <v>6975.0287288135596</v>
      </c>
      <c r="M289" s="24">
        <v>5.0270149999999996</v>
      </c>
      <c r="N289" s="24">
        <v>353.66771269999998</v>
      </c>
    </row>
    <row r="290" spans="6:14">
      <c r="F290" s="12">
        <v>287</v>
      </c>
      <c r="G290" s="12">
        <v>421320</v>
      </c>
      <c r="H290" s="22" t="s">
        <v>131</v>
      </c>
      <c r="I290" s="13">
        <v>0.41286100000000003</v>
      </c>
      <c r="J290" s="26" t="s">
        <v>848</v>
      </c>
      <c r="K290" s="13" t="s">
        <v>842</v>
      </c>
      <c r="L290" s="24">
        <v>10314.497754237289</v>
      </c>
      <c r="M290" s="24">
        <v>4.954332</v>
      </c>
      <c r="N290" s="24">
        <v>516.17597654999997</v>
      </c>
    </row>
    <row r="291" spans="6:14">
      <c r="F291" s="12">
        <v>288</v>
      </c>
      <c r="G291" s="12">
        <v>195970</v>
      </c>
      <c r="H291" s="22" t="s">
        <v>535</v>
      </c>
      <c r="I291" s="13">
        <v>0.41033683333333337</v>
      </c>
      <c r="J291" s="26" t="s">
        <v>854</v>
      </c>
      <c r="K291" s="13" t="s">
        <v>842</v>
      </c>
      <c r="L291" s="24">
        <v>10777.168199152542</v>
      </c>
      <c r="M291" s="24">
        <v>4.924042</v>
      </c>
      <c r="N291" s="24">
        <v>528.87004224999998</v>
      </c>
    </row>
    <row r="292" spans="6:14">
      <c r="F292" s="12">
        <v>289</v>
      </c>
      <c r="G292" s="12">
        <v>441330</v>
      </c>
      <c r="H292" s="22" t="s">
        <v>684</v>
      </c>
      <c r="I292" s="13">
        <v>0.40761191666666668</v>
      </c>
      <c r="J292" s="26" t="s">
        <v>832</v>
      </c>
      <c r="K292" s="13" t="s">
        <v>855</v>
      </c>
      <c r="L292" s="24">
        <v>8808.6047457627119</v>
      </c>
      <c r="M292" s="24">
        <v>4.891343</v>
      </c>
      <c r="N292" s="24">
        <v>419.52600104999999</v>
      </c>
    </row>
    <row r="293" spans="6:14">
      <c r="F293" s="12">
        <v>290</v>
      </c>
      <c r="G293" s="12">
        <v>309230</v>
      </c>
      <c r="H293" s="22" t="s">
        <v>367</v>
      </c>
      <c r="I293" s="13">
        <v>0.39955775000000004</v>
      </c>
      <c r="J293" s="26" t="s">
        <v>867</v>
      </c>
      <c r="K293" s="13" t="s">
        <v>839</v>
      </c>
      <c r="L293" s="24">
        <v>20026.432605932201</v>
      </c>
      <c r="M293" s="24">
        <v>4.7946929999999996</v>
      </c>
      <c r="N293" s="24">
        <v>961.31857179999997</v>
      </c>
    </row>
    <row r="294" spans="6:14">
      <c r="F294" s="12">
        <v>291</v>
      </c>
      <c r="G294" s="12">
        <v>361580</v>
      </c>
      <c r="H294" s="22" t="s">
        <v>697</v>
      </c>
      <c r="I294" s="13">
        <v>0.39280691666666667</v>
      </c>
      <c r="J294" s="26" t="s">
        <v>840</v>
      </c>
      <c r="K294" s="13" t="s">
        <v>837</v>
      </c>
      <c r="L294" s="24">
        <v>17703.669216101694</v>
      </c>
      <c r="M294" s="24">
        <v>4.7136829999999996</v>
      </c>
      <c r="N294" s="24">
        <v>837.14911886000004</v>
      </c>
    </row>
    <row r="295" spans="6:14">
      <c r="F295" s="12">
        <v>292</v>
      </c>
      <c r="G295" s="12">
        <v>463680</v>
      </c>
      <c r="H295" s="22" t="s">
        <v>212</v>
      </c>
      <c r="I295" s="13">
        <v>0.38403350000000008</v>
      </c>
      <c r="J295" s="26" t="s">
        <v>853</v>
      </c>
      <c r="K295" s="13" t="s">
        <v>831</v>
      </c>
      <c r="L295" s="24">
        <v>10063.381021505376</v>
      </c>
      <c r="M295" s="24">
        <v>4.6084019999999999</v>
      </c>
      <c r="N295" s="24">
        <v>452.59021530000001</v>
      </c>
    </row>
    <row r="296" spans="6:14">
      <c r="F296" s="12">
        <v>293</v>
      </c>
      <c r="G296" s="12">
        <v>250730</v>
      </c>
      <c r="H296" s="22" t="s">
        <v>521</v>
      </c>
      <c r="I296" s="13">
        <v>0.37826941666666669</v>
      </c>
      <c r="J296" s="26" t="s">
        <v>832</v>
      </c>
      <c r="K296" s="13" t="s">
        <v>837</v>
      </c>
      <c r="L296" s="24">
        <v>7684.8733262711867</v>
      </c>
      <c r="M296" s="24">
        <v>4.5392330000000003</v>
      </c>
      <c r="N296" s="24">
        <v>351.76432519999997</v>
      </c>
    </row>
    <row r="297" spans="6:14">
      <c r="F297" s="12">
        <v>294</v>
      </c>
      <c r="G297" s="12">
        <v>469060</v>
      </c>
      <c r="H297" s="22" t="s">
        <v>245</v>
      </c>
      <c r="I297" s="13">
        <v>0.37427816666666669</v>
      </c>
      <c r="J297" s="26" t="s">
        <v>853</v>
      </c>
      <c r="K297" s="13" t="s">
        <v>837</v>
      </c>
      <c r="L297" s="24">
        <v>10524.811025641025</v>
      </c>
      <c r="M297" s="24">
        <v>4.4913379999999998</v>
      </c>
      <c r="N297" s="24">
        <v>463.35478799999999</v>
      </c>
    </row>
    <row r="298" spans="6:14">
      <c r="F298" s="12">
        <v>295</v>
      </c>
      <c r="G298" s="12">
        <v>139270</v>
      </c>
      <c r="H298" s="22" t="s">
        <v>457</v>
      </c>
      <c r="I298" s="13">
        <v>0.37205133333333334</v>
      </c>
      <c r="J298" s="26" t="s">
        <v>848</v>
      </c>
      <c r="K298" s="13" t="s">
        <v>828</v>
      </c>
      <c r="L298" s="24">
        <v>6229.8410593220342</v>
      </c>
      <c r="M298" s="24">
        <v>4.4646160000000004</v>
      </c>
      <c r="N298" s="24">
        <v>278.53650484999997</v>
      </c>
    </row>
    <row r="299" spans="6:14">
      <c r="F299" s="12">
        <v>296</v>
      </c>
      <c r="G299" s="12">
        <v>282000</v>
      </c>
      <c r="H299" s="22" t="s">
        <v>625</v>
      </c>
      <c r="I299" s="13">
        <v>0.36238583333333335</v>
      </c>
      <c r="J299" s="26" t="s">
        <v>836</v>
      </c>
      <c r="K299" s="13" t="s">
        <v>837</v>
      </c>
      <c r="L299" s="24">
        <v>106591.68792372882</v>
      </c>
      <c r="M299" s="24">
        <v>4.34863</v>
      </c>
      <c r="N299" s="24">
        <v>4590.7515616999999</v>
      </c>
    </row>
    <row r="300" spans="6:14">
      <c r="F300" s="12">
        <v>297</v>
      </c>
      <c r="G300" s="12">
        <v>456880</v>
      </c>
      <c r="H300" s="22" t="s">
        <v>278</v>
      </c>
      <c r="I300" s="13">
        <v>0.36233641666666666</v>
      </c>
      <c r="J300" s="26" t="s">
        <v>850</v>
      </c>
      <c r="K300" s="13" t="s">
        <v>839</v>
      </c>
      <c r="L300" s="24">
        <v>10100.17746835443</v>
      </c>
      <c r="M300" s="24">
        <v>4.3480369999999997</v>
      </c>
      <c r="N300" s="24">
        <v>440.33070705</v>
      </c>
    </row>
    <row r="301" spans="6:14">
      <c r="F301" s="12">
        <v>298</v>
      </c>
      <c r="G301" s="12">
        <v>275980</v>
      </c>
      <c r="H301" s="22" t="s">
        <v>266</v>
      </c>
      <c r="I301" s="13">
        <v>0.35712008333333339</v>
      </c>
      <c r="J301" s="26" t="s">
        <v>853</v>
      </c>
      <c r="K301" s="13" t="s">
        <v>828</v>
      </c>
      <c r="L301" s="24">
        <v>15398.445063559322</v>
      </c>
      <c r="M301" s="24">
        <v>4.2854409999999996</v>
      </c>
      <c r="N301" s="24">
        <v>662.78221919999999</v>
      </c>
    </row>
    <row r="302" spans="6:14">
      <c r="F302" s="12">
        <v>299</v>
      </c>
      <c r="G302" s="12">
        <v>397410</v>
      </c>
      <c r="H302" s="22" t="s">
        <v>151</v>
      </c>
      <c r="I302" s="13">
        <v>0.35347400000000007</v>
      </c>
      <c r="J302" s="26" t="s">
        <v>835</v>
      </c>
      <c r="K302" s="13" t="s">
        <v>837</v>
      </c>
      <c r="L302" s="24">
        <v>54958.597330508477</v>
      </c>
      <c r="M302" s="24">
        <v>4.2416879999999999</v>
      </c>
      <c r="N302" s="24">
        <v>2293.3177605000001</v>
      </c>
    </row>
    <row r="303" spans="6:14">
      <c r="F303" s="12">
        <v>300</v>
      </c>
      <c r="G303" s="12">
        <v>381560</v>
      </c>
      <c r="H303" s="22" t="s">
        <v>507</v>
      </c>
      <c r="I303" s="13">
        <v>0.35327425000000007</v>
      </c>
      <c r="J303" s="26" t="s">
        <v>845</v>
      </c>
      <c r="K303" s="13" t="s">
        <v>849</v>
      </c>
      <c r="L303" s="24">
        <v>8912.7797245762722</v>
      </c>
      <c r="M303" s="24">
        <v>4.2392909999999997</v>
      </c>
      <c r="N303" s="24">
        <v>403.97718935</v>
      </c>
    </row>
    <row r="304" spans="6:14">
      <c r="I304" s="13"/>
      <c r="J304" s="26"/>
      <c r="K304" s="13"/>
      <c r="L304" s="24"/>
      <c r="M304" s="24"/>
    </row>
    <row r="305" spans="9:13">
      <c r="I305" s="13"/>
      <c r="J305" s="26"/>
      <c r="K305" s="13"/>
      <c r="L305" s="24"/>
      <c r="M305" s="24"/>
    </row>
    <row r="306" spans="9:13">
      <c r="I306" s="13"/>
      <c r="J306" s="26"/>
      <c r="K306" s="13"/>
      <c r="L306" s="24"/>
      <c r="M306" s="24"/>
    </row>
    <row r="307" spans="9:13">
      <c r="I307" s="13"/>
      <c r="J307" s="26"/>
      <c r="K307" s="13"/>
      <c r="L307" s="24"/>
      <c r="M307" s="24"/>
    </row>
    <row r="308" spans="9:13">
      <c r="I308" s="13"/>
      <c r="J308" s="26"/>
      <c r="K308" s="13"/>
      <c r="L308" s="24"/>
      <c r="M308" s="24"/>
    </row>
    <row r="309" spans="9:13">
      <c r="I309" s="13"/>
      <c r="J309" s="26"/>
      <c r="K309" s="13"/>
      <c r="L309" s="24"/>
      <c r="M309" s="24"/>
    </row>
    <row r="310" spans="9:13">
      <c r="I310" s="13"/>
      <c r="J310" s="26"/>
      <c r="K310" s="13"/>
      <c r="L310" s="24"/>
      <c r="M310" s="24"/>
    </row>
    <row r="311" spans="9:13">
      <c r="I311" s="13"/>
      <c r="J311" s="26"/>
      <c r="K311" s="13"/>
      <c r="L311" s="24"/>
      <c r="M311" s="24"/>
    </row>
    <row r="312" spans="9:13">
      <c r="I312" s="13"/>
      <c r="J312" s="26"/>
      <c r="K312" s="13"/>
      <c r="L312" s="24"/>
      <c r="M312" s="24"/>
    </row>
    <row r="313" spans="9:13">
      <c r="I313" s="13"/>
      <c r="J313" s="26"/>
      <c r="K313" s="13"/>
      <c r="L313" s="24"/>
      <c r="M313" s="24"/>
    </row>
    <row r="314" spans="9:13">
      <c r="I314" s="13"/>
      <c r="J314" s="26"/>
      <c r="K314" s="13"/>
      <c r="L314" s="24"/>
      <c r="M314" s="24"/>
    </row>
    <row r="315" spans="9:13">
      <c r="I315" s="13"/>
      <c r="J315" s="26"/>
      <c r="K315" s="13"/>
      <c r="L315" s="24"/>
      <c r="M315" s="24"/>
    </row>
    <row r="316" spans="9:13">
      <c r="I316" s="13"/>
      <c r="J316" s="26"/>
      <c r="K316" s="13"/>
      <c r="L316" s="24"/>
      <c r="M316" s="24"/>
    </row>
    <row r="317" spans="9:13">
      <c r="I317" s="13"/>
      <c r="J317" s="26"/>
      <c r="K317" s="13"/>
      <c r="L317" s="24"/>
      <c r="M317" s="24"/>
    </row>
    <row r="318" spans="9:13">
      <c r="I318" s="13"/>
      <c r="J318" s="26"/>
      <c r="K318" s="13"/>
      <c r="L318" s="24"/>
      <c r="M318" s="24"/>
    </row>
    <row r="319" spans="9:13">
      <c r="I319" s="13"/>
      <c r="J319" s="26"/>
      <c r="K319" s="13"/>
      <c r="L319" s="24"/>
      <c r="M319" s="24"/>
    </row>
    <row r="320" spans="9:13">
      <c r="I320" s="13"/>
      <c r="J320" s="26"/>
      <c r="K320" s="13"/>
      <c r="L320" s="24"/>
      <c r="M320" s="24"/>
    </row>
    <row r="321" spans="9:13">
      <c r="I321" s="13"/>
      <c r="J321" s="26"/>
      <c r="K321" s="13"/>
      <c r="L321" s="24"/>
      <c r="M321" s="24"/>
    </row>
    <row r="322" spans="9:13">
      <c r="I322" s="13"/>
      <c r="J322" s="26"/>
      <c r="K322" s="13"/>
      <c r="L322" s="24"/>
      <c r="M322" s="24"/>
    </row>
    <row r="323" spans="9:13">
      <c r="I323" s="13"/>
      <c r="J323" s="26"/>
      <c r="K323" s="13"/>
      <c r="L323" s="24"/>
      <c r="M323" s="24"/>
    </row>
    <row r="324" spans="9:13">
      <c r="I324" s="13"/>
      <c r="J324" s="26"/>
      <c r="K324" s="13"/>
      <c r="L324" s="24"/>
      <c r="M324" s="24"/>
    </row>
    <row r="325" spans="9:13">
      <c r="I325" s="13"/>
      <c r="J325" s="26"/>
      <c r="K325" s="13"/>
      <c r="L325" s="24"/>
      <c r="M325" s="24"/>
    </row>
    <row r="326" spans="9:13">
      <c r="I326" s="13"/>
      <c r="J326" s="26"/>
      <c r="K326" s="13"/>
      <c r="L326" s="24"/>
      <c r="M326" s="24"/>
    </row>
    <row r="327" spans="9:13">
      <c r="I327" s="13"/>
      <c r="J327" s="26"/>
      <c r="K327" s="13"/>
      <c r="L327" s="24"/>
      <c r="M327" s="24"/>
    </row>
    <row r="328" spans="9:13">
      <c r="I328" s="13"/>
      <c r="J328" s="26"/>
      <c r="K328" s="13"/>
      <c r="L328" s="24"/>
      <c r="M328" s="24"/>
    </row>
    <row r="329" spans="9:13">
      <c r="I329" s="13"/>
      <c r="J329" s="26"/>
      <c r="K329" s="13"/>
      <c r="L329" s="24"/>
      <c r="M329" s="24"/>
    </row>
    <row r="330" spans="9:13">
      <c r="I330" s="13"/>
      <c r="J330" s="26"/>
      <c r="K330" s="13"/>
      <c r="L330" s="24"/>
      <c r="M330" s="24"/>
    </row>
    <row r="331" spans="9:13">
      <c r="I331" s="13"/>
      <c r="J331" s="26"/>
      <c r="K331" s="13"/>
      <c r="L331" s="24"/>
      <c r="M331" s="24"/>
    </row>
    <row r="332" spans="9:13">
      <c r="I332" s="13"/>
      <c r="J332" s="26"/>
      <c r="K332" s="13"/>
      <c r="L332" s="24"/>
      <c r="M332" s="24"/>
    </row>
    <row r="333" spans="9:13">
      <c r="I333" s="13"/>
      <c r="J333" s="26"/>
      <c r="K333" s="13"/>
      <c r="L333" s="24"/>
      <c r="M333" s="24"/>
    </row>
    <row r="334" spans="9:13">
      <c r="I334" s="13"/>
      <c r="J334" s="26"/>
      <c r="K334" s="13"/>
      <c r="L334" s="24"/>
      <c r="M334" s="24"/>
    </row>
    <row r="335" spans="9:13">
      <c r="I335" s="13"/>
      <c r="J335" s="26"/>
      <c r="K335" s="13"/>
      <c r="L335" s="24"/>
      <c r="M335" s="24"/>
    </row>
    <row r="336" spans="9:13">
      <c r="I336" s="13"/>
      <c r="J336" s="26"/>
      <c r="K336" s="13"/>
      <c r="L336" s="24"/>
      <c r="M336" s="24"/>
    </row>
    <row r="337" spans="9:13">
      <c r="I337" s="13"/>
      <c r="J337" s="26"/>
      <c r="K337" s="13"/>
      <c r="L337" s="24"/>
      <c r="M337" s="24"/>
    </row>
    <row r="338" spans="9:13">
      <c r="I338" s="13"/>
      <c r="J338" s="26"/>
      <c r="K338" s="13"/>
      <c r="L338" s="24"/>
      <c r="M338" s="24"/>
    </row>
    <row r="339" spans="9:13">
      <c r="I339" s="13"/>
      <c r="J339" s="26"/>
      <c r="K339" s="13"/>
      <c r="L339" s="24"/>
      <c r="M339" s="24"/>
    </row>
    <row r="340" spans="9:13">
      <c r="I340" s="13"/>
      <c r="J340" s="26"/>
      <c r="K340" s="13"/>
      <c r="L340" s="24"/>
      <c r="M340" s="24"/>
    </row>
    <row r="341" spans="9:13">
      <c r="I341" s="13"/>
      <c r="J341" s="26"/>
      <c r="K341" s="13"/>
      <c r="L341" s="24"/>
      <c r="M341" s="24"/>
    </row>
    <row r="342" spans="9:13">
      <c r="I342" s="13"/>
      <c r="J342" s="26"/>
      <c r="K342" s="13"/>
      <c r="L342" s="24"/>
      <c r="M342" s="24"/>
    </row>
    <row r="343" spans="9:13">
      <c r="I343" s="13"/>
      <c r="J343" s="26"/>
      <c r="K343" s="13"/>
      <c r="L343" s="24"/>
      <c r="M343" s="24"/>
    </row>
    <row r="344" spans="9:13">
      <c r="I344" s="13"/>
      <c r="J344" s="26"/>
      <c r="K344" s="13"/>
      <c r="L344" s="24"/>
      <c r="M344" s="24"/>
    </row>
    <row r="345" spans="9:13">
      <c r="I345" s="13"/>
      <c r="J345" s="26"/>
      <c r="K345" s="13"/>
      <c r="L345" s="24"/>
      <c r="M345" s="24"/>
    </row>
    <row r="346" spans="9:13">
      <c r="I346" s="13"/>
      <c r="J346" s="26"/>
      <c r="K346" s="13"/>
      <c r="L346" s="24"/>
      <c r="M346" s="24"/>
    </row>
    <row r="347" spans="9:13">
      <c r="I347" s="13"/>
      <c r="J347" s="26"/>
      <c r="K347" s="13"/>
      <c r="L347" s="24"/>
      <c r="M347" s="24"/>
    </row>
    <row r="348" spans="9:13">
      <c r="I348" s="13"/>
      <c r="J348" s="26"/>
      <c r="K348" s="13"/>
      <c r="L348" s="24"/>
      <c r="M348" s="24"/>
    </row>
    <row r="349" spans="9:13">
      <c r="I349" s="13"/>
      <c r="J349" s="26"/>
      <c r="K349" s="13"/>
      <c r="L349" s="24"/>
      <c r="M349" s="24"/>
    </row>
    <row r="350" spans="9:13">
      <c r="I350" s="13"/>
      <c r="J350" s="26"/>
      <c r="K350" s="13"/>
      <c r="L350" s="24"/>
      <c r="M350" s="24"/>
    </row>
    <row r="351" spans="9:13">
      <c r="I351" s="13"/>
      <c r="J351" s="26"/>
      <c r="K351" s="13"/>
      <c r="L351" s="24"/>
      <c r="M351" s="24"/>
    </row>
    <row r="352" spans="9:13">
      <c r="I352" s="13"/>
      <c r="J352" s="26"/>
      <c r="K352" s="13"/>
      <c r="L352" s="24"/>
      <c r="M352" s="24"/>
    </row>
    <row r="353" spans="9:13">
      <c r="I353" s="13"/>
      <c r="J353" s="26"/>
      <c r="K353" s="13"/>
      <c r="L353" s="24"/>
      <c r="M353" s="24"/>
    </row>
    <row r="354" spans="9:13">
      <c r="I354" s="13"/>
      <c r="J354" s="26"/>
      <c r="K354" s="13"/>
      <c r="L354" s="24"/>
      <c r="M354" s="24"/>
    </row>
    <row r="355" spans="9:13">
      <c r="I355" s="13"/>
      <c r="J355" s="26"/>
      <c r="K355" s="13"/>
      <c r="L355" s="24"/>
      <c r="M355" s="24"/>
    </row>
    <row r="356" spans="9:13">
      <c r="I356" s="13"/>
      <c r="J356" s="26"/>
      <c r="K356" s="13"/>
      <c r="L356" s="24"/>
      <c r="M356" s="24"/>
    </row>
    <row r="357" spans="9:13">
      <c r="I357" s="13"/>
      <c r="J357" s="26"/>
      <c r="K357" s="13"/>
      <c r="L357" s="24"/>
      <c r="M357" s="24"/>
    </row>
    <row r="358" spans="9:13">
      <c r="I358" s="13"/>
      <c r="J358" s="26"/>
      <c r="K358" s="13"/>
      <c r="L358" s="24"/>
      <c r="M358" s="24"/>
    </row>
    <row r="359" spans="9:13">
      <c r="I359" s="13"/>
      <c r="J359" s="26"/>
      <c r="K359" s="13"/>
      <c r="L359" s="24"/>
      <c r="M359" s="24"/>
    </row>
    <row r="360" spans="9:13">
      <c r="I360" s="13"/>
      <c r="J360" s="26"/>
      <c r="K360" s="13"/>
      <c r="L360" s="24"/>
      <c r="M360" s="24"/>
    </row>
    <row r="361" spans="9:13">
      <c r="I361" s="13"/>
      <c r="J361" s="26"/>
      <c r="K361" s="13"/>
      <c r="L361" s="24"/>
      <c r="M361" s="24"/>
    </row>
    <row r="362" spans="9:13">
      <c r="I362" s="13"/>
      <c r="J362" s="26"/>
      <c r="K362" s="13"/>
      <c r="L362" s="24"/>
      <c r="M362" s="24"/>
    </row>
    <row r="363" spans="9:13">
      <c r="I363" s="13"/>
      <c r="J363" s="26"/>
      <c r="K363" s="13"/>
      <c r="L363" s="24"/>
      <c r="M363" s="24"/>
    </row>
    <row r="364" spans="9:13">
      <c r="I364" s="13"/>
      <c r="J364" s="26"/>
      <c r="K364" s="13"/>
      <c r="L364" s="24"/>
      <c r="M364" s="24"/>
    </row>
    <row r="365" spans="9:13">
      <c r="I365" s="13"/>
      <c r="J365" s="26"/>
      <c r="K365" s="13"/>
      <c r="L365" s="24"/>
      <c r="M365" s="24"/>
    </row>
    <row r="366" spans="9:13">
      <c r="I366" s="13"/>
      <c r="J366" s="26"/>
      <c r="K366" s="13"/>
      <c r="L366" s="24"/>
      <c r="M366" s="24"/>
    </row>
    <row r="367" spans="9:13">
      <c r="I367" s="13"/>
      <c r="J367" s="26"/>
      <c r="K367" s="13"/>
      <c r="L367" s="24"/>
      <c r="M367" s="24"/>
    </row>
    <row r="368" spans="9:13">
      <c r="I368" s="13"/>
      <c r="J368" s="26"/>
      <c r="K368" s="13"/>
      <c r="L368" s="24"/>
      <c r="M368" s="24"/>
    </row>
    <row r="369" spans="9:13">
      <c r="I369" s="13"/>
      <c r="J369" s="26"/>
      <c r="K369" s="13"/>
      <c r="L369" s="24"/>
      <c r="M369" s="24"/>
    </row>
    <row r="370" spans="9:13">
      <c r="I370" s="13"/>
      <c r="J370" s="26"/>
      <c r="K370" s="13"/>
      <c r="L370" s="24"/>
      <c r="M370" s="24"/>
    </row>
    <row r="371" spans="9:13">
      <c r="I371" s="13"/>
      <c r="J371" s="26"/>
      <c r="K371" s="13"/>
      <c r="L371" s="24"/>
      <c r="M371" s="24"/>
    </row>
    <row r="372" spans="9:13">
      <c r="I372" s="13"/>
      <c r="J372" s="26"/>
      <c r="K372" s="13"/>
      <c r="L372" s="24"/>
      <c r="M372" s="24"/>
    </row>
    <row r="373" spans="9:13">
      <c r="I373" s="13"/>
      <c r="J373" s="26"/>
      <c r="K373" s="13"/>
      <c r="L373" s="24"/>
      <c r="M373" s="24"/>
    </row>
    <row r="374" spans="9:13">
      <c r="I374" s="13"/>
      <c r="J374" s="26"/>
      <c r="K374" s="13"/>
      <c r="L374" s="24"/>
      <c r="M374" s="24"/>
    </row>
    <row r="375" spans="9:13">
      <c r="I375" s="13"/>
      <c r="J375" s="26"/>
      <c r="K375" s="13"/>
      <c r="L375" s="24"/>
      <c r="M375" s="24"/>
    </row>
    <row r="376" spans="9:13">
      <c r="I376" s="13"/>
      <c r="J376" s="26"/>
      <c r="K376" s="13"/>
      <c r="L376" s="24"/>
      <c r="M376" s="24"/>
    </row>
    <row r="377" spans="9:13">
      <c r="I377" s="13"/>
      <c r="J377" s="26"/>
      <c r="K377" s="13"/>
      <c r="L377" s="24"/>
      <c r="M377" s="24"/>
    </row>
    <row r="378" spans="9:13">
      <c r="I378" s="13"/>
      <c r="J378" s="26"/>
      <c r="K378" s="13"/>
      <c r="L378" s="24"/>
      <c r="M378" s="24"/>
    </row>
    <row r="379" spans="9:13">
      <c r="I379" s="13"/>
      <c r="J379" s="26"/>
      <c r="K379" s="13"/>
      <c r="L379" s="24"/>
      <c r="M379" s="24"/>
    </row>
    <row r="380" spans="9:13">
      <c r="I380" s="13"/>
      <c r="J380" s="26"/>
      <c r="K380" s="13"/>
      <c r="L380" s="24"/>
      <c r="M380" s="24"/>
    </row>
    <row r="381" spans="9:13">
      <c r="I381" s="13"/>
      <c r="J381" s="26"/>
      <c r="K381" s="13"/>
      <c r="L381" s="24"/>
      <c r="M381" s="24"/>
    </row>
    <row r="382" spans="9:13">
      <c r="I382" s="13"/>
      <c r="J382" s="26"/>
      <c r="K382" s="13"/>
      <c r="L382" s="24"/>
      <c r="M382" s="24"/>
    </row>
    <row r="383" spans="9:13">
      <c r="I383" s="13"/>
      <c r="J383" s="26"/>
      <c r="K383" s="13"/>
      <c r="L383" s="24"/>
      <c r="M383" s="24"/>
    </row>
    <row r="384" spans="9:13">
      <c r="I384" s="13"/>
      <c r="J384" s="26"/>
      <c r="K384" s="13"/>
      <c r="L384" s="24"/>
      <c r="M384" s="24"/>
    </row>
    <row r="385" spans="9:13">
      <c r="I385" s="13"/>
      <c r="J385" s="26"/>
      <c r="K385" s="13"/>
      <c r="L385" s="24"/>
      <c r="M385" s="24"/>
    </row>
    <row r="386" spans="9:13">
      <c r="I386" s="13"/>
      <c r="J386" s="26"/>
      <c r="K386" s="13"/>
      <c r="L386" s="24"/>
      <c r="M386" s="24"/>
    </row>
    <row r="387" spans="9:13">
      <c r="I387" s="13"/>
      <c r="J387" s="26"/>
      <c r="K387" s="13"/>
      <c r="L387" s="24"/>
      <c r="M387" s="24"/>
    </row>
    <row r="388" spans="9:13">
      <c r="I388" s="13"/>
      <c r="J388" s="26"/>
      <c r="K388" s="13"/>
      <c r="L388" s="24"/>
      <c r="M388" s="24"/>
    </row>
    <row r="389" spans="9:13">
      <c r="I389" s="13"/>
      <c r="J389" s="26"/>
      <c r="K389" s="13"/>
      <c r="L389" s="24"/>
      <c r="M389" s="24"/>
    </row>
    <row r="390" spans="9:13">
      <c r="I390" s="13"/>
      <c r="J390" s="26"/>
      <c r="K390" s="13"/>
      <c r="L390" s="24"/>
      <c r="M390" s="24"/>
    </row>
    <row r="391" spans="9:13">
      <c r="I391" s="13"/>
      <c r="J391" s="26"/>
      <c r="K391" s="13"/>
      <c r="L391" s="24"/>
      <c r="M391" s="24"/>
    </row>
    <row r="392" spans="9:13">
      <c r="I392" s="13"/>
      <c r="J392" s="26"/>
      <c r="K392" s="13"/>
      <c r="L392" s="24"/>
      <c r="M392" s="24"/>
    </row>
    <row r="393" spans="9:13">
      <c r="I393" s="13"/>
      <c r="J393" s="26"/>
      <c r="K393" s="13"/>
      <c r="L393" s="24"/>
      <c r="M393" s="24"/>
    </row>
    <row r="394" spans="9:13">
      <c r="I394" s="13"/>
      <c r="J394" s="26"/>
      <c r="K394" s="13"/>
      <c r="L394" s="24"/>
      <c r="M394" s="24"/>
    </row>
    <row r="395" spans="9:13">
      <c r="I395" s="13"/>
      <c r="J395" s="26"/>
      <c r="K395" s="13"/>
      <c r="L395" s="24"/>
      <c r="M395" s="24"/>
    </row>
    <row r="396" spans="9:13">
      <c r="I396" s="13"/>
      <c r="J396" s="26"/>
      <c r="K396" s="13"/>
      <c r="L396" s="24"/>
      <c r="M396" s="24"/>
    </row>
    <row r="397" spans="9:13">
      <c r="I397" s="13"/>
      <c r="J397" s="26"/>
      <c r="K397" s="13"/>
      <c r="L397" s="24"/>
      <c r="M397" s="24"/>
    </row>
    <row r="398" spans="9:13">
      <c r="I398" s="13"/>
      <c r="J398" s="26"/>
      <c r="K398" s="13"/>
      <c r="L398" s="24"/>
      <c r="M398" s="24"/>
    </row>
    <row r="399" spans="9:13">
      <c r="I399" s="13"/>
      <c r="J399" s="26"/>
      <c r="K399" s="13"/>
      <c r="L399" s="24"/>
      <c r="M399" s="24"/>
    </row>
    <row r="400" spans="9:13">
      <c r="I400" s="13"/>
      <c r="J400" s="26"/>
      <c r="K400" s="13"/>
      <c r="L400" s="24"/>
      <c r="M400" s="24"/>
    </row>
    <row r="401" spans="9:13">
      <c r="I401" s="13"/>
      <c r="J401" s="26"/>
      <c r="K401" s="13"/>
      <c r="L401" s="24"/>
      <c r="M401" s="24"/>
    </row>
    <row r="402" spans="9:13">
      <c r="I402" s="13"/>
      <c r="J402" s="26"/>
      <c r="K402" s="13"/>
      <c r="L402" s="24"/>
      <c r="M402" s="24"/>
    </row>
    <row r="403" spans="9:13">
      <c r="I403" s="13"/>
      <c r="J403" s="26"/>
      <c r="K403" s="13"/>
      <c r="L403" s="24"/>
      <c r="M403" s="24"/>
    </row>
    <row r="404" spans="9:13">
      <c r="I404" s="13"/>
      <c r="J404" s="26"/>
      <c r="K404" s="13"/>
      <c r="L404" s="24"/>
      <c r="M404" s="24"/>
    </row>
    <row r="405" spans="9:13">
      <c r="I405" s="13"/>
      <c r="J405" s="26"/>
      <c r="K405" s="13"/>
      <c r="L405" s="24"/>
      <c r="M405" s="24"/>
    </row>
    <row r="406" spans="9:13">
      <c r="I406" s="13"/>
      <c r="J406" s="26"/>
      <c r="K406" s="13"/>
      <c r="L406" s="24"/>
      <c r="M406" s="24"/>
    </row>
    <row r="407" spans="9:13">
      <c r="I407" s="13"/>
      <c r="J407" s="26"/>
      <c r="K407" s="13"/>
      <c r="L407" s="24"/>
      <c r="M407" s="24"/>
    </row>
    <row r="408" spans="9:13">
      <c r="I408" s="13"/>
      <c r="J408" s="26"/>
      <c r="K408" s="13"/>
      <c r="L408" s="24"/>
      <c r="M408" s="24"/>
    </row>
    <row r="409" spans="9:13">
      <c r="I409" s="13"/>
      <c r="J409" s="26"/>
      <c r="K409" s="13"/>
      <c r="L409" s="24"/>
      <c r="M409" s="24"/>
    </row>
    <row r="410" spans="9:13">
      <c r="I410" s="13"/>
      <c r="J410" s="26"/>
      <c r="K410" s="13"/>
      <c r="L410" s="24"/>
      <c r="M410" s="24"/>
    </row>
    <row r="411" spans="9:13">
      <c r="I411" s="13"/>
      <c r="J411" s="26"/>
      <c r="K411" s="13"/>
      <c r="L411" s="24"/>
      <c r="M411" s="24"/>
    </row>
    <row r="412" spans="9:13">
      <c r="I412" s="13"/>
      <c r="J412" s="26"/>
      <c r="K412" s="13"/>
      <c r="L412" s="24"/>
      <c r="M412" s="24"/>
    </row>
    <row r="413" spans="9:13">
      <c r="I413" s="13"/>
      <c r="J413" s="26"/>
      <c r="K413" s="13"/>
      <c r="L413" s="24"/>
      <c r="M413" s="24"/>
    </row>
    <row r="414" spans="9:13">
      <c r="I414" s="13"/>
      <c r="J414" s="26"/>
      <c r="K414" s="13"/>
      <c r="L414" s="24"/>
      <c r="M414" s="24"/>
    </row>
    <row r="415" spans="9:13">
      <c r="I415" s="13"/>
      <c r="J415" s="26"/>
      <c r="K415" s="13"/>
      <c r="L415" s="24"/>
      <c r="M415" s="24"/>
    </row>
    <row r="416" spans="9:13">
      <c r="I416" s="13"/>
      <c r="J416" s="26"/>
      <c r="K416" s="13"/>
      <c r="L416" s="24"/>
      <c r="M416" s="24"/>
    </row>
    <row r="417" spans="9:13">
      <c r="I417" s="13"/>
      <c r="J417" s="26"/>
      <c r="K417" s="13"/>
      <c r="L417" s="24"/>
      <c r="M417" s="24"/>
    </row>
    <row r="418" spans="9:13">
      <c r="I418" s="13"/>
      <c r="J418" s="26"/>
      <c r="K418" s="13"/>
      <c r="L418" s="24"/>
      <c r="M418" s="24"/>
    </row>
    <row r="419" spans="9:13">
      <c r="I419" s="13"/>
      <c r="J419" s="26"/>
      <c r="K419" s="13"/>
      <c r="L419" s="24"/>
      <c r="M419" s="24"/>
    </row>
    <row r="420" spans="9:13">
      <c r="I420" s="13"/>
      <c r="J420" s="26"/>
      <c r="K420" s="13"/>
      <c r="L420" s="24"/>
      <c r="M420" s="24"/>
    </row>
    <row r="421" spans="9:13">
      <c r="I421" s="13"/>
      <c r="J421" s="26"/>
      <c r="K421" s="13"/>
      <c r="L421" s="24"/>
      <c r="M421" s="24"/>
    </row>
    <row r="422" spans="9:13">
      <c r="I422" s="13"/>
      <c r="J422" s="26"/>
      <c r="K422" s="13"/>
      <c r="L422" s="24"/>
      <c r="M422" s="24"/>
    </row>
    <row r="423" spans="9:13">
      <c r="I423" s="13"/>
      <c r="J423" s="26"/>
      <c r="K423" s="13"/>
      <c r="L423" s="24"/>
      <c r="M423" s="24"/>
    </row>
    <row r="424" spans="9:13">
      <c r="I424" s="13"/>
      <c r="J424" s="26"/>
      <c r="K424" s="13"/>
      <c r="L424" s="24"/>
      <c r="M424" s="24"/>
    </row>
    <row r="425" spans="9:13">
      <c r="I425" s="13"/>
      <c r="J425" s="26"/>
      <c r="K425" s="13"/>
      <c r="L425" s="24"/>
      <c r="M425" s="24"/>
    </row>
    <row r="426" spans="9:13">
      <c r="I426" s="13"/>
      <c r="J426" s="26"/>
      <c r="K426" s="13"/>
      <c r="L426" s="24"/>
      <c r="M426" s="24"/>
    </row>
    <row r="427" spans="9:13">
      <c r="I427" s="13"/>
      <c r="J427" s="26"/>
      <c r="K427" s="13"/>
      <c r="L427" s="24"/>
      <c r="M427" s="24"/>
    </row>
    <row r="428" spans="9:13">
      <c r="I428" s="13"/>
      <c r="J428" s="26"/>
      <c r="K428" s="13"/>
      <c r="L428" s="24"/>
      <c r="M428" s="24"/>
    </row>
    <row r="429" spans="9:13">
      <c r="I429" s="13"/>
      <c r="J429" s="26"/>
      <c r="K429" s="13"/>
      <c r="L429" s="24"/>
      <c r="M429" s="24"/>
    </row>
    <row r="430" spans="9:13">
      <c r="I430" s="13"/>
      <c r="J430" s="26"/>
      <c r="K430" s="13"/>
      <c r="L430" s="24"/>
      <c r="M430" s="24"/>
    </row>
    <row r="431" spans="9:13">
      <c r="I431" s="13"/>
      <c r="J431" s="26"/>
      <c r="K431" s="13"/>
      <c r="L431" s="24"/>
      <c r="M431" s="24"/>
    </row>
    <row r="432" spans="9:13">
      <c r="I432" s="13"/>
      <c r="J432" s="26"/>
      <c r="K432" s="13"/>
      <c r="L432" s="24"/>
      <c r="M432" s="24"/>
    </row>
    <row r="433" spans="9:13">
      <c r="I433" s="13"/>
      <c r="J433" s="26"/>
      <c r="K433" s="13"/>
      <c r="L433" s="24"/>
      <c r="M433" s="24"/>
    </row>
    <row r="434" spans="9:13">
      <c r="I434" s="13"/>
      <c r="J434" s="26"/>
      <c r="K434" s="13"/>
      <c r="L434" s="24"/>
      <c r="M434" s="24"/>
    </row>
    <row r="435" spans="9:13">
      <c r="I435" s="13"/>
      <c r="J435" s="26"/>
      <c r="K435" s="13"/>
      <c r="L435" s="24"/>
      <c r="M435" s="24"/>
    </row>
    <row r="436" spans="9:13">
      <c r="I436" s="13"/>
      <c r="J436" s="26"/>
      <c r="K436" s="13"/>
      <c r="L436" s="24"/>
      <c r="M436" s="24"/>
    </row>
    <row r="437" spans="9:13">
      <c r="I437" s="13"/>
      <c r="J437" s="26"/>
      <c r="K437" s="13"/>
      <c r="L437" s="24"/>
      <c r="M437" s="24"/>
    </row>
    <row r="438" spans="9:13">
      <c r="I438" s="13"/>
      <c r="J438" s="26"/>
      <c r="K438" s="13"/>
      <c r="L438" s="24"/>
      <c r="M438" s="24"/>
    </row>
    <row r="439" spans="9:13">
      <c r="I439" s="13"/>
      <c r="J439" s="26"/>
      <c r="K439" s="13"/>
      <c r="L439" s="24"/>
      <c r="M439" s="24"/>
    </row>
    <row r="440" spans="9:13">
      <c r="I440" s="13"/>
      <c r="J440" s="26"/>
      <c r="K440" s="13"/>
      <c r="L440" s="24"/>
      <c r="M440" s="24"/>
    </row>
    <row r="441" spans="9:13">
      <c r="I441" s="13"/>
      <c r="J441" s="26"/>
      <c r="K441" s="13"/>
      <c r="L441" s="24"/>
      <c r="M441" s="24"/>
    </row>
    <row r="442" spans="9:13">
      <c r="I442" s="13"/>
      <c r="J442" s="26"/>
      <c r="K442" s="13"/>
      <c r="L442" s="24"/>
      <c r="M442" s="24"/>
    </row>
    <row r="443" spans="9:13">
      <c r="I443" s="13"/>
      <c r="J443" s="26"/>
      <c r="K443" s="13"/>
      <c r="L443" s="24"/>
      <c r="M443" s="24"/>
    </row>
    <row r="444" spans="9:13">
      <c r="I444" s="13"/>
      <c r="J444" s="26"/>
      <c r="K444" s="13"/>
      <c r="L444" s="24"/>
      <c r="M444" s="24"/>
    </row>
    <row r="445" spans="9:13">
      <c r="I445" s="13"/>
      <c r="J445" s="26"/>
      <c r="K445" s="13"/>
      <c r="L445" s="24"/>
      <c r="M445" s="24"/>
    </row>
    <row r="446" spans="9:13">
      <c r="I446" s="13"/>
      <c r="J446" s="26"/>
      <c r="K446" s="13"/>
      <c r="L446" s="24"/>
      <c r="M446" s="24"/>
    </row>
    <row r="447" spans="9:13">
      <c r="I447" s="13"/>
      <c r="J447" s="26"/>
      <c r="K447" s="13"/>
      <c r="L447" s="24"/>
      <c r="M447" s="24"/>
    </row>
    <row r="448" spans="9:13">
      <c r="I448" s="13"/>
      <c r="J448" s="26"/>
      <c r="K448" s="13"/>
      <c r="L448" s="24"/>
      <c r="M448" s="24"/>
    </row>
    <row r="449" spans="9:13">
      <c r="I449" s="13"/>
      <c r="J449" s="26"/>
      <c r="K449" s="13"/>
      <c r="L449" s="24"/>
      <c r="M449" s="24"/>
    </row>
    <row r="450" spans="9:13">
      <c r="I450" s="13"/>
      <c r="J450" s="26"/>
      <c r="K450" s="13"/>
      <c r="L450" s="24"/>
      <c r="M450" s="24"/>
    </row>
    <row r="451" spans="9:13">
      <c r="I451" s="13"/>
      <c r="J451" s="26"/>
      <c r="K451" s="13"/>
      <c r="L451" s="24"/>
      <c r="M451" s="24"/>
    </row>
    <row r="452" spans="9:13">
      <c r="I452" s="13"/>
      <c r="J452" s="26"/>
      <c r="K452" s="13"/>
      <c r="L452" s="24"/>
      <c r="M452" s="24"/>
    </row>
    <row r="453" spans="9:13">
      <c r="I453" s="13"/>
      <c r="J453" s="26"/>
      <c r="K453" s="13"/>
      <c r="L453" s="24"/>
      <c r="M453" s="24"/>
    </row>
    <row r="454" spans="9:13">
      <c r="I454" s="13"/>
      <c r="J454" s="26"/>
      <c r="K454" s="13"/>
      <c r="L454" s="24"/>
      <c r="M454" s="24"/>
    </row>
    <row r="455" spans="9:13">
      <c r="I455" s="13"/>
      <c r="J455" s="26"/>
      <c r="K455" s="13"/>
      <c r="L455" s="24"/>
      <c r="M455" s="24"/>
    </row>
    <row r="456" spans="9:13">
      <c r="I456" s="13"/>
      <c r="J456" s="26"/>
      <c r="K456" s="13"/>
      <c r="L456" s="24"/>
      <c r="M456" s="24"/>
    </row>
    <row r="457" spans="9:13">
      <c r="I457" s="13"/>
      <c r="J457" s="26"/>
      <c r="K457" s="13"/>
      <c r="L457" s="24"/>
      <c r="M457" s="24"/>
    </row>
    <row r="458" spans="9:13">
      <c r="I458" s="13"/>
      <c r="J458" s="26"/>
      <c r="K458" s="13"/>
      <c r="L458" s="24"/>
      <c r="M458" s="24"/>
    </row>
    <row r="459" spans="9:13">
      <c r="I459" s="13"/>
      <c r="J459" s="26"/>
      <c r="K459" s="13"/>
      <c r="L459" s="24"/>
      <c r="M459" s="24"/>
    </row>
    <row r="460" spans="9:13">
      <c r="I460" s="13"/>
      <c r="J460" s="26"/>
      <c r="K460" s="13"/>
      <c r="L460" s="24"/>
      <c r="M460" s="24"/>
    </row>
    <row r="461" spans="9:13">
      <c r="I461" s="13"/>
      <c r="J461" s="26"/>
      <c r="K461" s="13"/>
      <c r="L461" s="24"/>
      <c r="M461" s="24"/>
    </row>
    <row r="462" spans="9:13">
      <c r="I462" s="13"/>
      <c r="J462" s="26"/>
      <c r="K462" s="13"/>
      <c r="L462" s="24"/>
      <c r="M462" s="24"/>
    </row>
    <row r="463" spans="9:13">
      <c r="I463" s="13"/>
      <c r="J463" s="26"/>
      <c r="K463" s="13"/>
      <c r="L463" s="24"/>
      <c r="M463" s="24"/>
    </row>
    <row r="464" spans="9:13">
      <c r="I464" s="13"/>
      <c r="J464" s="26"/>
      <c r="K464" s="13"/>
      <c r="L464" s="24"/>
      <c r="M464" s="24"/>
    </row>
    <row r="465" spans="9:13">
      <c r="I465" s="13"/>
      <c r="J465" s="26"/>
      <c r="K465" s="13"/>
      <c r="L465" s="24"/>
      <c r="M465" s="24"/>
    </row>
    <row r="466" spans="9:13">
      <c r="I466" s="13"/>
      <c r="J466" s="26"/>
      <c r="K466" s="13"/>
      <c r="L466" s="24"/>
      <c r="M466" s="24"/>
    </row>
    <row r="467" spans="9:13">
      <c r="I467" s="13"/>
      <c r="J467" s="26"/>
      <c r="K467" s="13"/>
      <c r="L467" s="24"/>
      <c r="M467" s="24"/>
    </row>
    <row r="468" spans="9:13">
      <c r="I468" s="13"/>
      <c r="J468" s="26"/>
      <c r="K468" s="13"/>
      <c r="L468" s="24"/>
      <c r="M468" s="24"/>
    </row>
    <row r="469" spans="9:13">
      <c r="I469" s="13"/>
      <c r="J469" s="26"/>
      <c r="K469" s="13"/>
      <c r="L469" s="24"/>
      <c r="M469" s="24"/>
    </row>
    <row r="470" spans="9:13">
      <c r="I470" s="13"/>
      <c r="J470" s="26"/>
      <c r="K470" s="13"/>
      <c r="L470" s="24"/>
      <c r="M470" s="24"/>
    </row>
    <row r="471" spans="9:13">
      <c r="I471" s="13"/>
      <c r="J471" s="26"/>
      <c r="K471" s="13"/>
      <c r="L471" s="24"/>
      <c r="M471" s="24"/>
    </row>
    <row r="472" spans="9:13">
      <c r="I472" s="13"/>
      <c r="J472" s="26"/>
      <c r="K472" s="13"/>
      <c r="L472" s="24"/>
      <c r="M472" s="24"/>
    </row>
    <row r="473" spans="9:13">
      <c r="I473" s="13"/>
      <c r="J473" s="26"/>
      <c r="K473" s="13"/>
      <c r="L473" s="24"/>
      <c r="M473" s="24"/>
    </row>
    <row r="474" spans="9:13">
      <c r="I474" s="13"/>
      <c r="J474" s="26"/>
      <c r="K474" s="13"/>
      <c r="L474" s="24"/>
      <c r="M474" s="24"/>
    </row>
    <row r="475" spans="9:13">
      <c r="I475" s="13"/>
      <c r="J475" s="26"/>
      <c r="K475" s="13"/>
      <c r="L475" s="24"/>
      <c r="M475" s="24"/>
    </row>
    <row r="476" spans="9:13">
      <c r="I476" s="13"/>
      <c r="J476" s="26"/>
      <c r="K476" s="13"/>
      <c r="L476" s="24"/>
      <c r="M476" s="24"/>
    </row>
    <row r="477" spans="9:13">
      <c r="I477" s="13"/>
      <c r="J477" s="26"/>
      <c r="K477" s="13"/>
      <c r="L477" s="24"/>
      <c r="M477" s="24"/>
    </row>
    <row r="478" spans="9:13">
      <c r="I478" s="13"/>
      <c r="J478" s="26"/>
      <c r="K478" s="13"/>
      <c r="L478" s="24"/>
      <c r="M478" s="24"/>
    </row>
    <row r="479" spans="9:13">
      <c r="I479" s="13"/>
      <c r="J479" s="26"/>
      <c r="K479" s="13"/>
      <c r="L479" s="24"/>
      <c r="M479" s="24"/>
    </row>
    <row r="480" spans="9:13">
      <c r="I480" s="13"/>
      <c r="J480" s="26"/>
      <c r="K480" s="13"/>
      <c r="L480" s="24"/>
      <c r="M480" s="24"/>
    </row>
    <row r="481" spans="9:13">
      <c r="I481" s="13"/>
      <c r="J481" s="26"/>
      <c r="K481" s="13"/>
      <c r="L481" s="24"/>
      <c r="M481" s="24"/>
    </row>
    <row r="482" spans="9:13">
      <c r="I482" s="13"/>
      <c r="J482" s="26"/>
      <c r="K482" s="13"/>
      <c r="L482" s="24"/>
      <c r="M482" s="24"/>
    </row>
    <row r="483" spans="9:13">
      <c r="I483" s="13"/>
      <c r="J483" s="26"/>
      <c r="K483" s="13"/>
      <c r="L483" s="24"/>
      <c r="M483" s="24"/>
    </row>
    <row r="484" spans="9:13">
      <c r="I484" s="13"/>
      <c r="J484" s="26"/>
      <c r="K484" s="13"/>
      <c r="L484" s="24"/>
      <c r="M484" s="24"/>
    </row>
    <row r="485" spans="9:13">
      <c r="I485" s="13"/>
      <c r="J485" s="26"/>
      <c r="K485" s="13"/>
      <c r="L485" s="24"/>
      <c r="M485" s="24"/>
    </row>
    <row r="486" spans="9:13">
      <c r="I486" s="13"/>
      <c r="J486" s="26"/>
      <c r="K486" s="13"/>
      <c r="L486" s="24"/>
      <c r="M486" s="24"/>
    </row>
    <row r="487" spans="9:13">
      <c r="I487" s="13"/>
      <c r="J487" s="26"/>
      <c r="K487" s="13"/>
      <c r="L487" s="24"/>
      <c r="M487" s="24"/>
    </row>
    <row r="488" spans="9:13">
      <c r="I488" s="13"/>
      <c r="J488" s="26"/>
      <c r="K488" s="13"/>
      <c r="L488" s="24"/>
      <c r="M488" s="24"/>
    </row>
    <row r="489" spans="9:13">
      <c r="I489" s="13"/>
      <c r="J489" s="26"/>
      <c r="K489" s="13"/>
      <c r="L489" s="24"/>
      <c r="M489" s="24"/>
    </row>
    <row r="490" spans="9:13">
      <c r="I490" s="13"/>
      <c r="J490" s="26"/>
      <c r="K490" s="13"/>
      <c r="L490" s="24"/>
      <c r="M490" s="24"/>
    </row>
    <row r="491" spans="9:13">
      <c r="I491" s="13"/>
      <c r="J491" s="26"/>
      <c r="K491" s="13"/>
      <c r="L491" s="24"/>
      <c r="M491" s="24"/>
    </row>
    <row r="492" spans="9:13">
      <c r="I492" s="13"/>
      <c r="J492" s="26"/>
      <c r="K492" s="13"/>
      <c r="L492" s="24"/>
      <c r="M492" s="24"/>
    </row>
    <row r="493" spans="9:13">
      <c r="I493" s="13"/>
      <c r="J493" s="26"/>
      <c r="K493" s="13"/>
      <c r="L493" s="24"/>
      <c r="M493" s="24"/>
    </row>
    <row r="494" spans="9:13">
      <c r="I494" s="13"/>
      <c r="J494" s="26"/>
      <c r="K494" s="13"/>
      <c r="L494" s="24"/>
      <c r="M494" s="24"/>
    </row>
    <row r="495" spans="9:13">
      <c r="I495" s="13"/>
      <c r="J495" s="26"/>
      <c r="K495" s="13"/>
      <c r="L495" s="24"/>
      <c r="M495" s="24"/>
    </row>
    <row r="496" spans="9:13">
      <c r="I496" s="13"/>
      <c r="J496" s="26"/>
      <c r="K496" s="13"/>
      <c r="L496" s="24"/>
      <c r="M496" s="24"/>
    </row>
    <row r="497" spans="9:13">
      <c r="I497" s="13"/>
      <c r="J497" s="26"/>
      <c r="K497" s="13"/>
      <c r="L497" s="24"/>
      <c r="M497" s="24"/>
    </row>
    <row r="498" spans="9:13">
      <c r="I498" s="13"/>
      <c r="J498" s="26"/>
      <c r="K498" s="13"/>
      <c r="L498" s="24"/>
      <c r="M498" s="24"/>
    </row>
    <row r="499" spans="9:13">
      <c r="I499" s="13"/>
      <c r="J499" s="26"/>
      <c r="K499" s="13"/>
      <c r="L499" s="24"/>
      <c r="M499" s="24"/>
    </row>
    <row r="500" spans="9:13">
      <c r="I500" s="13"/>
      <c r="J500" s="26"/>
      <c r="K500" s="13"/>
      <c r="L500" s="24"/>
      <c r="M500" s="24"/>
    </row>
    <row r="501" spans="9:13">
      <c r="I501" s="13"/>
      <c r="J501" s="26"/>
      <c r="K501" s="13"/>
      <c r="L501" s="24"/>
      <c r="M501" s="24"/>
    </row>
    <row r="502" spans="9:13">
      <c r="I502" s="13"/>
      <c r="J502" s="26"/>
      <c r="K502" s="13"/>
      <c r="L502" s="24"/>
      <c r="M502" s="24"/>
    </row>
    <row r="503" spans="9:13">
      <c r="I503" s="13"/>
      <c r="J503" s="26"/>
      <c r="K503" s="13"/>
      <c r="L503" s="24"/>
      <c r="M503" s="24"/>
    </row>
    <row r="504" spans="9:13">
      <c r="I504" s="13"/>
      <c r="J504" s="26"/>
      <c r="K504" s="13"/>
      <c r="L504" s="24"/>
      <c r="M504" s="24"/>
    </row>
    <row r="505" spans="9:13">
      <c r="I505" s="13"/>
      <c r="J505" s="26"/>
      <c r="K505" s="13"/>
      <c r="L505" s="24"/>
      <c r="M505" s="24"/>
    </row>
    <row r="506" spans="9:13">
      <c r="I506" s="13"/>
      <c r="J506" s="26"/>
      <c r="K506" s="13"/>
      <c r="L506" s="24"/>
      <c r="M506" s="24"/>
    </row>
    <row r="507" spans="9:13">
      <c r="I507" s="13"/>
      <c r="J507" s="26"/>
      <c r="K507" s="13"/>
      <c r="L507" s="24"/>
      <c r="M507" s="24"/>
    </row>
    <row r="508" spans="9:13">
      <c r="I508" s="13"/>
      <c r="J508" s="26"/>
      <c r="K508" s="13"/>
      <c r="L508" s="24"/>
      <c r="M508" s="24"/>
    </row>
    <row r="509" spans="9:13">
      <c r="I509" s="13"/>
      <c r="J509" s="26"/>
      <c r="K509" s="13"/>
      <c r="L509" s="24"/>
      <c r="M509" s="24"/>
    </row>
    <row r="510" spans="9:13">
      <c r="I510" s="13"/>
      <c r="J510" s="26"/>
      <c r="K510" s="13"/>
      <c r="L510" s="24"/>
      <c r="M510" s="24"/>
    </row>
    <row r="511" spans="9:13">
      <c r="I511" s="13"/>
      <c r="J511" s="26"/>
      <c r="K511" s="13"/>
      <c r="L511" s="24"/>
      <c r="M511" s="24"/>
    </row>
    <row r="512" spans="9:13">
      <c r="I512" s="13"/>
      <c r="J512" s="26"/>
      <c r="K512" s="13"/>
      <c r="L512" s="24"/>
      <c r="M512" s="24"/>
    </row>
    <row r="513" spans="9:13">
      <c r="I513" s="13"/>
      <c r="J513" s="26"/>
      <c r="K513" s="13"/>
      <c r="L513" s="24"/>
      <c r="M513" s="24"/>
    </row>
    <row r="514" spans="9:13">
      <c r="I514" s="13"/>
      <c r="J514" s="26"/>
      <c r="K514" s="13"/>
      <c r="L514" s="24"/>
      <c r="M514" s="24"/>
    </row>
    <row r="515" spans="9:13">
      <c r="I515" s="13"/>
      <c r="J515" s="26"/>
      <c r="K515" s="13"/>
      <c r="L515" s="24"/>
      <c r="M515" s="24"/>
    </row>
    <row r="516" spans="9:13">
      <c r="I516" s="13"/>
      <c r="J516" s="26"/>
      <c r="K516" s="13"/>
      <c r="L516" s="24"/>
      <c r="M516" s="24"/>
    </row>
    <row r="517" spans="9:13">
      <c r="I517" s="13"/>
      <c r="J517" s="26"/>
      <c r="K517" s="13"/>
      <c r="L517" s="24"/>
      <c r="M517" s="24"/>
    </row>
    <row r="518" spans="9:13">
      <c r="I518" s="13"/>
      <c r="J518" s="26"/>
      <c r="K518" s="13"/>
      <c r="L518" s="24"/>
      <c r="M518" s="24"/>
    </row>
    <row r="519" spans="9:13">
      <c r="I519" s="13"/>
      <c r="J519" s="26"/>
      <c r="K519" s="13"/>
      <c r="L519" s="24"/>
      <c r="M519" s="24"/>
    </row>
    <row r="520" spans="9:13">
      <c r="I520" s="13"/>
      <c r="J520" s="26"/>
      <c r="K520" s="13"/>
      <c r="L520" s="24"/>
      <c r="M520" s="24"/>
    </row>
    <row r="521" spans="9:13">
      <c r="I521" s="13"/>
      <c r="J521" s="26"/>
      <c r="K521" s="13"/>
      <c r="L521" s="24"/>
      <c r="M521" s="24"/>
    </row>
    <row r="522" spans="9:13">
      <c r="I522" s="13"/>
      <c r="J522" s="26"/>
      <c r="K522" s="13"/>
      <c r="L522" s="24"/>
      <c r="M522" s="24"/>
    </row>
    <row r="523" spans="9:13">
      <c r="I523" s="13"/>
      <c r="J523" s="26"/>
      <c r="K523" s="13"/>
      <c r="L523" s="24"/>
      <c r="M523" s="24"/>
    </row>
    <row r="524" spans="9:13">
      <c r="I524" s="13"/>
      <c r="J524" s="26"/>
      <c r="K524" s="13"/>
      <c r="L524" s="24"/>
      <c r="M524" s="24"/>
    </row>
    <row r="525" spans="9:13">
      <c r="I525" s="13"/>
      <c r="J525" s="26"/>
      <c r="K525" s="13"/>
      <c r="L525" s="24"/>
      <c r="M525" s="24"/>
    </row>
    <row r="526" spans="9:13">
      <c r="I526" s="13"/>
      <c r="J526" s="26"/>
      <c r="K526" s="13"/>
      <c r="L526" s="24"/>
      <c r="M526" s="24"/>
    </row>
    <row r="527" spans="9:13">
      <c r="I527" s="13"/>
      <c r="J527" s="26"/>
      <c r="K527" s="13"/>
      <c r="L527" s="24"/>
      <c r="M527" s="24"/>
    </row>
    <row r="528" spans="9:13">
      <c r="I528" s="13"/>
      <c r="J528" s="26"/>
      <c r="K528" s="13"/>
      <c r="L528" s="24"/>
      <c r="M528" s="24"/>
    </row>
    <row r="529" spans="9:13">
      <c r="I529" s="13"/>
      <c r="J529" s="26"/>
      <c r="K529" s="13"/>
      <c r="L529" s="24"/>
      <c r="M529" s="24"/>
    </row>
    <row r="530" spans="9:13">
      <c r="I530" s="13"/>
      <c r="J530" s="26"/>
      <c r="K530" s="13"/>
      <c r="L530" s="24"/>
      <c r="M530" s="24"/>
    </row>
    <row r="531" spans="9:13">
      <c r="I531" s="13"/>
      <c r="J531" s="26"/>
      <c r="K531" s="13"/>
      <c r="L531" s="24"/>
      <c r="M531" s="24"/>
    </row>
    <row r="532" spans="9:13">
      <c r="I532" s="13"/>
      <c r="J532" s="26"/>
      <c r="K532" s="13"/>
      <c r="L532" s="24"/>
      <c r="M532" s="24"/>
    </row>
    <row r="533" spans="9:13">
      <c r="I533" s="13"/>
      <c r="J533" s="26"/>
      <c r="K533" s="13"/>
      <c r="L533" s="24"/>
      <c r="M533" s="24"/>
    </row>
    <row r="534" spans="9:13">
      <c r="I534" s="13"/>
      <c r="J534" s="26"/>
      <c r="K534" s="13"/>
      <c r="L534" s="24"/>
      <c r="M534" s="24"/>
    </row>
    <row r="535" spans="9:13">
      <c r="I535" s="13"/>
      <c r="J535" s="26"/>
      <c r="K535" s="13"/>
      <c r="L535" s="24"/>
      <c r="M535" s="24"/>
    </row>
    <row r="536" spans="9:13">
      <c r="I536" s="13"/>
      <c r="J536" s="26"/>
      <c r="K536" s="13"/>
      <c r="L536" s="24"/>
      <c r="M536" s="24"/>
    </row>
    <row r="537" spans="9:13">
      <c r="I537" s="13"/>
      <c r="J537" s="26"/>
      <c r="K537" s="13"/>
      <c r="L537" s="24"/>
      <c r="M537" s="24"/>
    </row>
    <row r="538" spans="9:13">
      <c r="I538" s="13"/>
      <c r="J538" s="26"/>
      <c r="K538" s="13"/>
      <c r="L538" s="24"/>
      <c r="M538" s="24"/>
    </row>
    <row r="539" spans="9:13">
      <c r="I539" s="13"/>
      <c r="J539" s="26"/>
      <c r="K539" s="13"/>
      <c r="L539" s="24"/>
      <c r="M539" s="24"/>
    </row>
    <row r="540" spans="9:13">
      <c r="I540" s="13"/>
      <c r="J540" s="26"/>
      <c r="K540" s="13"/>
      <c r="L540" s="24"/>
      <c r="M540" s="24"/>
    </row>
    <row r="541" spans="9:13">
      <c r="I541" s="13"/>
      <c r="J541" s="26"/>
      <c r="K541" s="13"/>
      <c r="L541" s="24"/>
      <c r="M541" s="24"/>
    </row>
    <row r="542" spans="9:13">
      <c r="I542" s="13"/>
      <c r="J542" s="26"/>
      <c r="K542" s="13"/>
      <c r="L542" s="24"/>
      <c r="M542" s="24"/>
    </row>
    <row r="543" spans="9:13">
      <c r="I543" s="13"/>
      <c r="J543" s="26"/>
      <c r="K543" s="13"/>
      <c r="L543" s="24"/>
      <c r="M543" s="24"/>
    </row>
    <row r="544" spans="9:13">
      <c r="I544" s="13"/>
      <c r="J544" s="26"/>
      <c r="K544" s="13"/>
      <c r="L544" s="24"/>
      <c r="M544" s="24"/>
    </row>
    <row r="545" spans="9:13">
      <c r="I545" s="13"/>
      <c r="J545" s="26"/>
      <c r="K545" s="13"/>
      <c r="L545" s="24"/>
      <c r="M545" s="24"/>
    </row>
    <row r="546" spans="9:13">
      <c r="I546" s="13"/>
      <c r="J546" s="26"/>
      <c r="K546" s="13"/>
      <c r="L546" s="24"/>
      <c r="M546" s="24"/>
    </row>
    <row r="547" spans="9:13">
      <c r="I547" s="13"/>
      <c r="J547" s="26"/>
      <c r="K547" s="13"/>
      <c r="L547" s="24"/>
      <c r="M547" s="24"/>
    </row>
    <row r="548" spans="9:13">
      <c r="I548" s="13"/>
      <c r="J548" s="26"/>
      <c r="K548" s="13"/>
      <c r="L548" s="24"/>
      <c r="M548" s="24"/>
    </row>
    <row r="549" spans="9:13">
      <c r="I549" s="13"/>
      <c r="J549" s="26"/>
      <c r="K549" s="13"/>
      <c r="L549" s="24"/>
      <c r="M549" s="24"/>
    </row>
    <row r="550" spans="9:13">
      <c r="I550" s="13"/>
      <c r="J550" s="26"/>
      <c r="K550" s="13"/>
      <c r="L550" s="24"/>
      <c r="M550" s="24"/>
    </row>
    <row r="551" spans="9:13">
      <c r="I551" s="13"/>
      <c r="J551" s="26"/>
      <c r="K551" s="13"/>
      <c r="L551" s="24"/>
      <c r="M551" s="24"/>
    </row>
    <row r="552" spans="9:13">
      <c r="I552" s="13"/>
      <c r="J552" s="26"/>
      <c r="K552" s="13"/>
      <c r="L552" s="24"/>
      <c r="M552" s="24"/>
    </row>
    <row r="553" spans="9:13">
      <c r="I553" s="13"/>
      <c r="J553" s="26"/>
      <c r="K553" s="13"/>
      <c r="L553" s="24"/>
      <c r="M553" s="24"/>
    </row>
    <row r="554" spans="9:13">
      <c r="I554" s="13"/>
      <c r="J554" s="26"/>
      <c r="K554" s="13"/>
      <c r="L554" s="24"/>
      <c r="M554" s="24"/>
    </row>
    <row r="555" spans="9:13">
      <c r="I555" s="13"/>
      <c r="J555" s="26"/>
      <c r="K555" s="13"/>
      <c r="L555" s="24"/>
      <c r="M555" s="24"/>
    </row>
    <row r="556" spans="9:13">
      <c r="I556" s="13"/>
      <c r="J556" s="26"/>
      <c r="K556" s="13"/>
      <c r="L556" s="24"/>
      <c r="M556" s="24"/>
    </row>
    <row r="557" spans="9:13">
      <c r="I557" s="13"/>
      <c r="J557" s="26"/>
      <c r="K557" s="13"/>
      <c r="L557" s="24"/>
      <c r="M557" s="24"/>
    </row>
    <row r="558" spans="9:13">
      <c r="I558" s="13"/>
      <c r="J558" s="26"/>
      <c r="K558" s="13"/>
      <c r="L558" s="24"/>
      <c r="M558" s="24"/>
    </row>
    <row r="559" spans="9:13">
      <c r="I559" s="13"/>
      <c r="J559" s="26"/>
      <c r="K559" s="13"/>
      <c r="L559" s="24"/>
      <c r="M559" s="24"/>
    </row>
    <row r="560" spans="9:13">
      <c r="I560" s="13"/>
      <c r="J560" s="26"/>
      <c r="K560" s="13"/>
      <c r="L560" s="24"/>
      <c r="M560" s="24"/>
    </row>
    <row r="561" spans="9:13">
      <c r="I561" s="13"/>
      <c r="J561" s="26"/>
      <c r="K561" s="13"/>
      <c r="L561" s="24"/>
      <c r="M561" s="24"/>
    </row>
    <row r="562" spans="9:13">
      <c r="I562" s="13"/>
      <c r="J562" s="26"/>
      <c r="K562" s="13"/>
      <c r="L562" s="24"/>
      <c r="M562" s="24"/>
    </row>
    <row r="563" spans="9:13">
      <c r="I563" s="13"/>
      <c r="J563" s="26"/>
      <c r="K563" s="13"/>
      <c r="L563" s="24"/>
      <c r="M563" s="24"/>
    </row>
    <row r="564" spans="9:13">
      <c r="I564" s="13"/>
      <c r="J564" s="26"/>
      <c r="K564" s="13"/>
      <c r="L564" s="24"/>
      <c r="M564" s="24"/>
    </row>
    <row r="565" spans="9:13">
      <c r="I565" s="13"/>
      <c r="J565" s="26"/>
      <c r="K565" s="13"/>
      <c r="L565" s="24"/>
      <c r="M565" s="24"/>
    </row>
    <row r="566" spans="9:13">
      <c r="I566" s="13"/>
      <c r="J566" s="26"/>
      <c r="K566" s="13"/>
      <c r="L566" s="24"/>
      <c r="M566" s="24"/>
    </row>
    <row r="567" spans="9:13">
      <c r="I567" s="13"/>
      <c r="J567" s="26"/>
      <c r="K567" s="13"/>
      <c r="L567" s="24"/>
      <c r="M567" s="24"/>
    </row>
    <row r="568" spans="9:13">
      <c r="I568" s="13"/>
      <c r="J568" s="26"/>
      <c r="K568" s="13"/>
      <c r="L568" s="24"/>
      <c r="M568" s="24"/>
    </row>
    <row r="569" spans="9:13">
      <c r="I569" s="13"/>
      <c r="J569" s="26"/>
      <c r="K569" s="13"/>
      <c r="L569" s="24"/>
      <c r="M569" s="24"/>
    </row>
    <row r="570" spans="9:13">
      <c r="I570" s="13"/>
      <c r="J570" s="26"/>
      <c r="K570" s="13"/>
      <c r="L570" s="24"/>
      <c r="M570" s="24"/>
    </row>
    <row r="571" spans="9:13">
      <c r="I571" s="13"/>
      <c r="J571" s="26"/>
      <c r="K571" s="13"/>
      <c r="L571" s="24"/>
      <c r="M571" s="24"/>
    </row>
    <row r="572" spans="9:13">
      <c r="I572" s="13"/>
      <c r="J572" s="26"/>
      <c r="K572" s="13"/>
      <c r="L572" s="24"/>
      <c r="M572" s="24"/>
    </row>
    <row r="573" spans="9:13">
      <c r="I573" s="13"/>
      <c r="J573" s="26"/>
      <c r="K573" s="13"/>
      <c r="L573" s="24"/>
      <c r="M573" s="24"/>
    </row>
    <row r="574" spans="9:13">
      <c r="I574" s="13"/>
      <c r="J574" s="26"/>
      <c r="K574" s="13"/>
      <c r="L574" s="24"/>
      <c r="M574" s="24"/>
    </row>
    <row r="575" spans="9:13">
      <c r="I575" s="13"/>
      <c r="J575" s="26"/>
      <c r="K575" s="13"/>
      <c r="L575" s="24"/>
      <c r="M575" s="24"/>
    </row>
    <row r="576" spans="9:13">
      <c r="I576" s="13"/>
      <c r="J576" s="26"/>
      <c r="K576" s="13"/>
      <c r="L576" s="24"/>
      <c r="M576" s="24"/>
    </row>
    <row r="577" spans="9:13">
      <c r="I577" s="13"/>
      <c r="J577" s="26"/>
      <c r="K577" s="13"/>
      <c r="L577" s="24"/>
      <c r="M577" s="24"/>
    </row>
    <row r="578" spans="9:13">
      <c r="I578" s="13"/>
      <c r="J578" s="26"/>
      <c r="K578" s="13"/>
      <c r="L578" s="24"/>
      <c r="M578" s="24"/>
    </row>
    <row r="579" spans="9:13">
      <c r="I579" s="13"/>
      <c r="J579" s="26"/>
      <c r="K579" s="13"/>
      <c r="L579" s="24"/>
      <c r="M579" s="24"/>
    </row>
    <row r="580" spans="9:13">
      <c r="I580" s="13"/>
      <c r="J580" s="26"/>
      <c r="K580" s="13"/>
      <c r="L580" s="24"/>
      <c r="M580" s="24"/>
    </row>
    <row r="581" spans="9:13">
      <c r="I581" s="13"/>
      <c r="J581" s="26"/>
      <c r="K581" s="13"/>
      <c r="L581" s="24"/>
      <c r="M581" s="24"/>
    </row>
    <row r="582" spans="9:13">
      <c r="I582" s="13"/>
      <c r="J582" s="26"/>
      <c r="K582" s="13"/>
      <c r="L582" s="24"/>
      <c r="M582" s="24"/>
    </row>
    <row r="583" spans="9:13">
      <c r="I583" s="13"/>
      <c r="J583" s="26"/>
      <c r="K583" s="13"/>
      <c r="L583" s="24"/>
      <c r="M583" s="24"/>
    </row>
    <row r="584" spans="9:13">
      <c r="I584" s="13"/>
      <c r="J584" s="26"/>
      <c r="K584" s="13"/>
      <c r="L584" s="24"/>
      <c r="M584" s="24"/>
    </row>
    <row r="585" spans="9:13">
      <c r="I585" s="13"/>
      <c r="J585" s="26"/>
      <c r="K585" s="13"/>
      <c r="L585" s="24"/>
      <c r="M585" s="24"/>
    </row>
    <row r="586" spans="9:13">
      <c r="I586" s="13"/>
      <c r="J586" s="26"/>
      <c r="K586" s="13"/>
      <c r="L586" s="24"/>
      <c r="M586" s="24"/>
    </row>
    <row r="587" spans="9:13">
      <c r="I587" s="13"/>
      <c r="J587" s="26"/>
      <c r="K587" s="13"/>
      <c r="L587" s="24"/>
      <c r="M587" s="24"/>
    </row>
    <row r="588" spans="9:13">
      <c r="I588" s="13"/>
      <c r="J588" s="26"/>
      <c r="K588" s="13"/>
      <c r="L588" s="24"/>
      <c r="M588" s="24"/>
    </row>
    <row r="589" spans="9:13">
      <c r="I589" s="13"/>
      <c r="J589" s="26"/>
      <c r="K589" s="13"/>
      <c r="L589" s="24"/>
      <c r="M589" s="24"/>
    </row>
    <row r="590" spans="9:13">
      <c r="I590" s="13"/>
      <c r="J590" s="26"/>
      <c r="K590" s="13"/>
      <c r="L590" s="24"/>
      <c r="M590" s="24"/>
    </row>
    <row r="591" spans="9:13">
      <c r="I591" s="13"/>
      <c r="J591" s="26"/>
      <c r="K591" s="13"/>
      <c r="L591" s="24"/>
      <c r="M591" s="24"/>
    </row>
    <row r="592" spans="9:13">
      <c r="I592" s="13"/>
      <c r="J592" s="26"/>
      <c r="K592" s="13"/>
      <c r="L592" s="24"/>
      <c r="M592" s="24"/>
    </row>
    <row r="593" spans="9:13">
      <c r="I593" s="13"/>
      <c r="J593" s="26"/>
      <c r="K593" s="13"/>
      <c r="L593" s="24"/>
      <c r="M593" s="24"/>
    </row>
    <row r="594" spans="9:13">
      <c r="I594" s="13"/>
      <c r="J594" s="26"/>
      <c r="K594" s="13"/>
      <c r="L594" s="24"/>
      <c r="M594" s="24"/>
    </row>
    <row r="595" spans="9:13">
      <c r="I595" s="13"/>
      <c r="J595" s="26"/>
      <c r="K595" s="13"/>
      <c r="L595" s="24"/>
      <c r="M595" s="24"/>
    </row>
    <row r="596" spans="9:13">
      <c r="I596" s="13"/>
      <c r="J596" s="26"/>
      <c r="K596" s="13"/>
      <c r="L596" s="24"/>
      <c r="M596" s="24"/>
    </row>
    <row r="597" spans="9:13">
      <c r="I597" s="13"/>
      <c r="J597" s="26"/>
      <c r="K597" s="13"/>
      <c r="L597" s="24"/>
      <c r="M597" s="24"/>
    </row>
    <row r="598" spans="9:13">
      <c r="I598" s="13"/>
      <c r="J598" s="26"/>
      <c r="K598" s="13"/>
      <c r="L598" s="24"/>
      <c r="M598" s="24"/>
    </row>
    <row r="599" spans="9:13">
      <c r="I599" s="13"/>
      <c r="J599" s="26"/>
      <c r="K599" s="13"/>
      <c r="L599" s="24"/>
      <c r="M599" s="24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"/>
  <sheetViews>
    <sheetView workbookViewId="0">
      <selection activeCell="I18" sqref="I18"/>
    </sheetView>
  </sheetViews>
  <sheetFormatPr defaultRowHeight="16.5"/>
  <cols>
    <col min="1" max="1" width="9.5" style="1" bestFit="1" customWidth="1"/>
    <col min="2" max="2" width="13.875" style="1" bestFit="1" customWidth="1"/>
    <col min="3" max="3" width="7.5" style="1" bestFit="1" customWidth="1"/>
    <col min="4" max="4" width="20.375" style="1" customWidth="1"/>
    <col min="5" max="5" width="6.25" style="1" customWidth="1"/>
    <col min="6" max="6" width="7.125" style="1" customWidth="1"/>
    <col min="7" max="7" width="13.875" style="1" bestFit="1" customWidth="1"/>
    <col min="8" max="8" width="10.5" style="17" bestFit="1" customWidth="1"/>
    <col min="9" max="9" width="45" style="1" bestFit="1" customWidth="1"/>
    <col min="10" max="10" width="12.75" style="1" bestFit="1" customWidth="1"/>
    <col min="11" max="11" width="13.875" style="1" bestFit="1" customWidth="1"/>
    <col min="12" max="12" width="7.5" style="1" bestFit="1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F22" sqref="F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N841"/>
  <sheetViews>
    <sheetView tabSelected="1" zoomScale="85" zoomScaleNormal="85" workbookViewId="0">
      <selection activeCell="H28" sqref="H28"/>
    </sheetView>
  </sheetViews>
  <sheetFormatPr defaultRowHeight="16.5"/>
  <cols>
    <col min="2" max="2" width="16.125" style="8" bestFit="1" customWidth="1"/>
    <col min="3" max="3" width="8.375" style="8" customWidth="1"/>
    <col min="4" max="5" width="9" style="8"/>
    <col min="6" max="6" width="9" style="2"/>
    <col min="7" max="7" width="6.875" style="16" bestFit="1" customWidth="1"/>
    <col min="8" max="8" width="37.75" style="4" bestFit="1" customWidth="1"/>
    <col min="9" max="9" width="10.375" style="12" bestFit="1" customWidth="1"/>
    <col min="10" max="10" width="24.5" style="2" bestFit="1" customWidth="1"/>
    <col min="11" max="11" width="11.625" style="2" bestFit="1" customWidth="1"/>
    <col min="12" max="12" width="7" style="2" customWidth="1"/>
    <col min="13" max="13" width="28.25" style="12" bestFit="1" customWidth="1"/>
    <col min="14" max="14" width="9" style="1"/>
  </cols>
  <sheetData>
    <row r="3" spans="2:13">
      <c r="B3" s="3" t="s">
        <v>6</v>
      </c>
      <c r="C3" s="2" t="s">
        <v>5</v>
      </c>
      <c r="G3" s="15" t="s">
        <v>12</v>
      </c>
      <c r="H3" s="7" t="s">
        <v>13</v>
      </c>
      <c r="I3" s="11" t="s">
        <v>822</v>
      </c>
      <c r="J3" s="7" t="s">
        <v>823</v>
      </c>
      <c r="K3" s="7" t="s">
        <v>824</v>
      </c>
      <c r="L3" s="7" t="s">
        <v>825</v>
      </c>
      <c r="M3" s="11" t="s">
        <v>826</v>
      </c>
    </row>
    <row r="4" spans="2:13">
      <c r="B4" s="3" t="s">
        <v>821</v>
      </c>
      <c r="C4" s="2" t="s">
        <v>10</v>
      </c>
      <c r="G4" s="16" t="s">
        <v>1580</v>
      </c>
      <c r="H4" s="4" t="s">
        <v>816</v>
      </c>
      <c r="I4" s="13">
        <v>631</v>
      </c>
      <c r="J4" s="2" t="s">
        <v>835</v>
      </c>
      <c r="K4" s="10">
        <v>45272</v>
      </c>
      <c r="L4" s="14">
        <v>8.9999999999999998E-4</v>
      </c>
      <c r="M4" s="12" t="s">
        <v>831</v>
      </c>
    </row>
    <row r="5" spans="2:13">
      <c r="G5" s="16" t="s">
        <v>1561</v>
      </c>
      <c r="H5" s="4" t="s">
        <v>516</v>
      </c>
      <c r="I5" s="13">
        <v>1087</v>
      </c>
      <c r="J5" s="2" t="s">
        <v>835</v>
      </c>
      <c r="K5" s="10">
        <v>45258</v>
      </c>
      <c r="L5" s="14">
        <v>3.5999999999999997E-4</v>
      </c>
      <c r="M5" s="12" t="s">
        <v>860</v>
      </c>
    </row>
    <row r="6" spans="2:13">
      <c r="G6" s="16" t="s">
        <v>995</v>
      </c>
      <c r="H6" s="4" t="s">
        <v>814</v>
      </c>
      <c r="I6" s="13">
        <v>79</v>
      </c>
      <c r="J6" s="2" t="s">
        <v>856</v>
      </c>
      <c r="K6" s="10">
        <v>45274</v>
      </c>
      <c r="L6" s="14">
        <v>2.5000000000000001E-3</v>
      </c>
      <c r="M6" s="12" t="s">
        <v>837</v>
      </c>
    </row>
    <row r="7" spans="2:13">
      <c r="G7" s="16" t="s">
        <v>1591</v>
      </c>
      <c r="H7" s="4" t="s">
        <v>820</v>
      </c>
      <c r="I7" s="13">
        <v>81</v>
      </c>
      <c r="J7" s="2" t="s">
        <v>840</v>
      </c>
      <c r="K7" s="10">
        <v>45274</v>
      </c>
      <c r="L7" s="14">
        <v>7.8500000000000011E-3</v>
      </c>
      <c r="M7" s="12" t="s">
        <v>1592</v>
      </c>
    </row>
    <row r="8" spans="2:13">
      <c r="G8" s="16" t="s">
        <v>1623</v>
      </c>
      <c r="H8" s="4" t="s">
        <v>305</v>
      </c>
      <c r="I8" s="13">
        <v>31</v>
      </c>
      <c r="J8" s="2" t="s">
        <v>843</v>
      </c>
      <c r="K8" s="10">
        <v>45258</v>
      </c>
      <c r="L8" s="14">
        <v>4.0000000000000001E-3</v>
      </c>
      <c r="M8" s="12" t="s">
        <v>849</v>
      </c>
    </row>
    <row r="9" spans="2:13">
      <c r="G9" s="16" t="s">
        <v>1106</v>
      </c>
      <c r="H9" s="4" t="s">
        <v>819</v>
      </c>
      <c r="I9" s="13">
        <v>200</v>
      </c>
      <c r="J9" s="2" t="s">
        <v>832</v>
      </c>
      <c r="K9" s="10">
        <v>45272</v>
      </c>
      <c r="L9" s="14">
        <v>1.1000000000000001E-3</v>
      </c>
      <c r="M9" s="12" t="s">
        <v>871</v>
      </c>
    </row>
    <row r="10" spans="2:13">
      <c r="G10" s="16" t="s">
        <v>892</v>
      </c>
      <c r="H10" s="4" t="s">
        <v>306</v>
      </c>
      <c r="I10" s="13">
        <v>152</v>
      </c>
      <c r="J10" s="2" t="s">
        <v>847</v>
      </c>
      <c r="K10" s="10">
        <v>45265</v>
      </c>
      <c r="L10" s="14">
        <v>2.5000000000000001E-3</v>
      </c>
      <c r="M10" s="12" t="s">
        <v>828</v>
      </c>
    </row>
    <row r="11" spans="2:13">
      <c r="G11" s="16" t="s">
        <v>1145</v>
      </c>
      <c r="H11" s="4" t="s">
        <v>624</v>
      </c>
      <c r="I11" s="13">
        <v>152</v>
      </c>
      <c r="J11" s="2" t="s">
        <v>843</v>
      </c>
      <c r="K11" s="10">
        <v>45265</v>
      </c>
      <c r="L11" s="14">
        <v>4.8999999999999998E-3</v>
      </c>
      <c r="M11" s="12" t="s">
        <v>828</v>
      </c>
    </row>
    <row r="12" spans="2:13">
      <c r="G12" s="16" t="s">
        <v>1515</v>
      </c>
      <c r="H12" s="4" t="s">
        <v>818</v>
      </c>
      <c r="I12" s="13">
        <v>512</v>
      </c>
      <c r="J12" s="2" t="s">
        <v>838</v>
      </c>
      <c r="K12" s="10">
        <v>45272</v>
      </c>
      <c r="L12" s="14">
        <v>5.0000000000000001E-3</v>
      </c>
      <c r="M12" s="12" t="s">
        <v>828</v>
      </c>
    </row>
    <row r="13" spans="2:13">
      <c r="G13" s="16" t="s">
        <v>1446</v>
      </c>
      <c r="H13" s="4" t="s">
        <v>589</v>
      </c>
      <c r="I13" s="13">
        <v>729</v>
      </c>
      <c r="J13" s="2" t="s">
        <v>848</v>
      </c>
      <c r="K13" s="10">
        <v>45251</v>
      </c>
      <c r="L13" s="14">
        <v>3.9000000000000003E-3</v>
      </c>
      <c r="M13" s="12" t="s">
        <v>831</v>
      </c>
    </row>
    <row r="14" spans="2:13">
      <c r="G14" s="16" t="s">
        <v>1195</v>
      </c>
      <c r="H14" s="4" t="s">
        <v>53</v>
      </c>
      <c r="I14" s="13">
        <v>148</v>
      </c>
      <c r="J14" s="2" t="s">
        <v>848</v>
      </c>
      <c r="K14" s="10">
        <v>45258</v>
      </c>
      <c r="L14" s="14">
        <v>7.7000000000000002E-3</v>
      </c>
      <c r="M14" s="12" t="s">
        <v>828</v>
      </c>
    </row>
    <row r="15" spans="2:13">
      <c r="G15" s="16" t="s">
        <v>931</v>
      </c>
      <c r="H15" s="4" t="s">
        <v>133</v>
      </c>
      <c r="I15" s="13">
        <v>885</v>
      </c>
      <c r="J15" s="2" t="s">
        <v>848</v>
      </c>
      <c r="K15" s="10">
        <v>45251</v>
      </c>
      <c r="L15" s="14">
        <v>4.5000000000000005E-3</v>
      </c>
      <c r="M15" s="12" t="s">
        <v>828</v>
      </c>
    </row>
    <row r="16" spans="2:13">
      <c r="G16" s="16" t="s">
        <v>1309</v>
      </c>
      <c r="H16" s="4" t="s">
        <v>630</v>
      </c>
      <c r="I16" s="13">
        <v>91</v>
      </c>
      <c r="J16" s="2" t="s">
        <v>835</v>
      </c>
      <c r="K16" s="10">
        <v>45237</v>
      </c>
      <c r="L16" s="14">
        <v>3.5000000000000005E-4</v>
      </c>
      <c r="M16" s="12" t="s">
        <v>855</v>
      </c>
    </row>
    <row r="17" spans="7:13">
      <c r="G17" s="16" t="s">
        <v>1505</v>
      </c>
      <c r="H17" s="4" t="s">
        <v>807</v>
      </c>
      <c r="I17" s="13">
        <v>110</v>
      </c>
      <c r="J17" s="2" t="s">
        <v>857</v>
      </c>
      <c r="K17" s="10">
        <v>45244</v>
      </c>
      <c r="L17" s="14">
        <v>2.0000000000000001E-4</v>
      </c>
      <c r="M17" s="12" t="s">
        <v>849</v>
      </c>
    </row>
    <row r="18" spans="7:13">
      <c r="G18" s="16" t="s">
        <v>1503</v>
      </c>
      <c r="H18" s="4" t="s">
        <v>352</v>
      </c>
      <c r="I18" s="13">
        <v>978</v>
      </c>
      <c r="J18" s="2" t="s">
        <v>835</v>
      </c>
      <c r="K18" s="10">
        <v>45244</v>
      </c>
      <c r="L18" s="14">
        <v>1.4999999999999999E-4</v>
      </c>
      <c r="M18" s="12" t="s">
        <v>831</v>
      </c>
    </row>
    <row r="19" spans="7:13">
      <c r="G19" s="16" t="s">
        <v>1486</v>
      </c>
      <c r="H19" s="4" t="s">
        <v>598</v>
      </c>
      <c r="I19" s="13">
        <v>83</v>
      </c>
      <c r="J19" s="2" t="s">
        <v>853</v>
      </c>
      <c r="K19" s="10">
        <v>45251</v>
      </c>
      <c r="L19" s="14">
        <v>5.0000000000000001E-3</v>
      </c>
      <c r="M19" s="12" t="s">
        <v>874</v>
      </c>
    </row>
    <row r="20" spans="7:13">
      <c r="G20" s="16" t="s">
        <v>1130</v>
      </c>
      <c r="H20" s="4" t="s">
        <v>664</v>
      </c>
      <c r="I20" s="13">
        <v>1158</v>
      </c>
      <c r="J20" s="2" t="s">
        <v>835</v>
      </c>
      <c r="K20" s="10">
        <v>45244</v>
      </c>
      <c r="L20" s="14">
        <v>1E-3</v>
      </c>
      <c r="M20" s="12" t="s">
        <v>865</v>
      </c>
    </row>
    <row r="21" spans="7:13">
      <c r="G21" s="16" t="s">
        <v>1007</v>
      </c>
      <c r="H21" s="4" t="s">
        <v>247</v>
      </c>
      <c r="I21" s="13">
        <v>170</v>
      </c>
      <c r="J21" s="2" t="s">
        <v>845</v>
      </c>
      <c r="K21" s="10">
        <v>45251</v>
      </c>
      <c r="L21" s="14">
        <v>5.0000000000000001E-3</v>
      </c>
      <c r="M21" s="12" t="s">
        <v>875</v>
      </c>
    </row>
    <row r="22" spans="7:13">
      <c r="G22" s="16" t="s">
        <v>976</v>
      </c>
      <c r="H22" s="4" t="s">
        <v>656</v>
      </c>
      <c r="I22" s="13">
        <v>4792</v>
      </c>
      <c r="J22" s="2" t="s">
        <v>835</v>
      </c>
      <c r="K22" s="10">
        <v>45251</v>
      </c>
      <c r="L22" s="14">
        <v>1E-3</v>
      </c>
      <c r="M22" s="12" t="s">
        <v>828</v>
      </c>
    </row>
    <row r="23" spans="7:13">
      <c r="G23" s="16" t="s">
        <v>1087</v>
      </c>
      <c r="H23" s="4" t="s">
        <v>56</v>
      </c>
      <c r="I23" s="13">
        <v>817</v>
      </c>
      <c r="J23" s="2" t="s">
        <v>835</v>
      </c>
      <c r="K23" s="10">
        <v>45237</v>
      </c>
      <c r="L23" s="14">
        <v>5.0000000000000001E-4</v>
      </c>
      <c r="M23" s="12" t="s">
        <v>844</v>
      </c>
    </row>
    <row r="24" spans="7:13">
      <c r="G24" s="16" t="s">
        <v>1651</v>
      </c>
      <c r="H24" s="4" t="s">
        <v>331</v>
      </c>
      <c r="I24" s="13">
        <v>1728</v>
      </c>
      <c r="J24" s="2" t="s">
        <v>835</v>
      </c>
      <c r="K24" s="10">
        <v>45237</v>
      </c>
      <c r="L24" s="14">
        <v>5.0000000000000001E-4</v>
      </c>
      <c r="M24" s="12" t="s">
        <v>844</v>
      </c>
    </row>
    <row r="25" spans="7:13">
      <c r="G25" s="16" t="s">
        <v>978</v>
      </c>
      <c r="H25" s="4" t="s">
        <v>759</v>
      </c>
      <c r="I25" s="13">
        <v>90</v>
      </c>
      <c r="J25" s="2" t="s">
        <v>845</v>
      </c>
      <c r="K25" s="10">
        <v>45230</v>
      </c>
      <c r="L25" s="14">
        <v>3.9000000000000003E-3</v>
      </c>
      <c r="M25" s="12" t="s">
        <v>855</v>
      </c>
    </row>
    <row r="26" spans="7:13">
      <c r="G26" s="16" t="s">
        <v>1430</v>
      </c>
      <c r="H26" s="4" t="s">
        <v>110</v>
      </c>
      <c r="I26" s="13">
        <v>540</v>
      </c>
      <c r="J26" s="2" t="s">
        <v>841</v>
      </c>
      <c r="K26" s="10">
        <v>45239</v>
      </c>
      <c r="L26" s="14">
        <v>8.9999999999999998E-4</v>
      </c>
      <c r="M26" s="12" t="s">
        <v>837</v>
      </c>
    </row>
    <row r="27" spans="7:13">
      <c r="G27" s="16" t="s">
        <v>1622</v>
      </c>
      <c r="H27" s="4" t="s">
        <v>279</v>
      </c>
      <c r="I27" s="13">
        <v>65</v>
      </c>
      <c r="J27" s="2" t="s">
        <v>836</v>
      </c>
      <c r="K27" s="10">
        <v>45239</v>
      </c>
      <c r="L27" s="14">
        <v>5.0000000000000001E-4</v>
      </c>
      <c r="M27" s="12" t="s">
        <v>837</v>
      </c>
    </row>
    <row r="28" spans="7:13">
      <c r="G28" s="16" t="s">
        <v>1373</v>
      </c>
      <c r="H28" s="4" t="s">
        <v>776</v>
      </c>
      <c r="I28" s="13">
        <v>337</v>
      </c>
      <c r="J28" s="2" t="s">
        <v>838</v>
      </c>
      <c r="K28" s="10">
        <v>45216</v>
      </c>
      <c r="L28" s="14">
        <v>3.0000000000000001E-3</v>
      </c>
      <c r="M28" s="12" t="s">
        <v>839</v>
      </c>
    </row>
    <row r="29" spans="7:13">
      <c r="G29" s="16" t="s">
        <v>1418</v>
      </c>
      <c r="H29" s="4" t="s">
        <v>520</v>
      </c>
      <c r="I29" s="13">
        <v>85</v>
      </c>
      <c r="J29" s="2" t="s">
        <v>853</v>
      </c>
      <c r="K29" s="10">
        <v>45216</v>
      </c>
      <c r="L29" s="14">
        <v>4.5000000000000005E-3</v>
      </c>
      <c r="M29" s="12" t="s">
        <v>839</v>
      </c>
    </row>
    <row r="30" spans="7:13">
      <c r="G30" s="16" t="s">
        <v>1194</v>
      </c>
      <c r="H30" s="4" t="s">
        <v>74</v>
      </c>
      <c r="I30" s="13">
        <v>99</v>
      </c>
      <c r="J30" s="2" t="s">
        <v>848</v>
      </c>
      <c r="K30" s="10">
        <v>45216</v>
      </c>
      <c r="L30" s="14">
        <v>3.0000000000000001E-3</v>
      </c>
      <c r="M30" s="12" t="s">
        <v>839</v>
      </c>
    </row>
    <row r="31" spans="7:13">
      <c r="G31" s="16" t="s">
        <v>1250</v>
      </c>
      <c r="H31" s="4" t="s">
        <v>671</v>
      </c>
      <c r="I31" s="13">
        <v>205</v>
      </c>
      <c r="J31" s="2" t="s">
        <v>848</v>
      </c>
      <c r="K31" s="10">
        <v>45223</v>
      </c>
      <c r="L31" s="14">
        <v>4.0000000000000001E-3</v>
      </c>
      <c r="M31" s="12" t="s">
        <v>837</v>
      </c>
    </row>
    <row r="32" spans="7:13">
      <c r="G32" s="16" t="s">
        <v>1642</v>
      </c>
      <c r="H32" s="4" t="s">
        <v>245</v>
      </c>
      <c r="I32" s="13">
        <v>119</v>
      </c>
      <c r="J32" s="2" t="s">
        <v>853</v>
      </c>
      <c r="K32" s="10">
        <v>45223</v>
      </c>
      <c r="L32" s="14">
        <v>5.0000000000000001E-4</v>
      </c>
      <c r="M32" s="12" t="s">
        <v>837</v>
      </c>
    </row>
    <row r="33" spans="7:13">
      <c r="G33" s="16" t="s">
        <v>1027</v>
      </c>
      <c r="H33" s="4" t="s">
        <v>618</v>
      </c>
      <c r="I33" s="13">
        <v>122</v>
      </c>
      <c r="J33" s="2" t="s">
        <v>853</v>
      </c>
      <c r="K33" s="10">
        <v>45223</v>
      </c>
      <c r="L33" s="14">
        <v>5.0000000000000001E-4</v>
      </c>
      <c r="M33" s="12" t="s">
        <v>837</v>
      </c>
    </row>
    <row r="34" spans="7:13">
      <c r="G34" s="16" t="s">
        <v>1126</v>
      </c>
      <c r="H34" s="4" t="s">
        <v>571</v>
      </c>
      <c r="I34" s="13">
        <v>984</v>
      </c>
      <c r="J34" s="2" t="s">
        <v>835</v>
      </c>
      <c r="K34" s="10">
        <v>45218</v>
      </c>
      <c r="L34" s="14">
        <v>5.0000000000000001E-4</v>
      </c>
      <c r="M34" s="12" t="s">
        <v>834</v>
      </c>
    </row>
    <row r="35" spans="7:13">
      <c r="G35" s="16" t="s">
        <v>1178</v>
      </c>
      <c r="H35" s="4" t="s">
        <v>653</v>
      </c>
      <c r="I35" s="13">
        <v>145</v>
      </c>
      <c r="J35" s="2" t="s">
        <v>856</v>
      </c>
      <c r="K35" s="10">
        <v>45218</v>
      </c>
      <c r="L35" s="14">
        <v>1E-3</v>
      </c>
      <c r="M35" s="12" t="s">
        <v>831</v>
      </c>
    </row>
    <row r="36" spans="7:13">
      <c r="G36" s="16" t="s">
        <v>1212</v>
      </c>
      <c r="H36" s="4" t="s">
        <v>740</v>
      </c>
      <c r="I36" s="13">
        <v>117</v>
      </c>
      <c r="J36" s="2" t="s">
        <v>856</v>
      </c>
      <c r="K36" s="10">
        <v>45218</v>
      </c>
      <c r="L36" s="14">
        <v>1.5E-3</v>
      </c>
      <c r="M36" s="12" t="s">
        <v>831</v>
      </c>
    </row>
    <row r="37" spans="7:13">
      <c r="G37" s="16" t="s">
        <v>1474</v>
      </c>
      <c r="H37" s="4" t="s">
        <v>66</v>
      </c>
      <c r="I37" s="13">
        <v>98</v>
      </c>
      <c r="J37" s="2" t="s">
        <v>856</v>
      </c>
      <c r="K37" s="10">
        <v>45218</v>
      </c>
      <c r="L37" s="14">
        <v>1E-3</v>
      </c>
      <c r="M37" s="12" t="s">
        <v>831</v>
      </c>
    </row>
    <row r="38" spans="7:13">
      <c r="G38" s="16" t="s">
        <v>1508</v>
      </c>
      <c r="H38" s="4" t="s">
        <v>490</v>
      </c>
      <c r="I38" s="13">
        <v>3149</v>
      </c>
      <c r="J38" s="2" t="s">
        <v>835</v>
      </c>
      <c r="K38" s="10">
        <v>45210</v>
      </c>
      <c r="L38" s="14">
        <v>8.9999999999999998E-4</v>
      </c>
      <c r="M38" s="12" t="s">
        <v>831</v>
      </c>
    </row>
    <row r="39" spans="7:13">
      <c r="G39" s="16" t="s">
        <v>1391</v>
      </c>
      <c r="H39" s="4" t="s">
        <v>537</v>
      </c>
      <c r="I39" s="13">
        <v>118</v>
      </c>
      <c r="J39" s="2" t="s">
        <v>841</v>
      </c>
      <c r="K39" s="10">
        <v>45216</v>
      </c>
      <c r="L39" s="14">
        <v>2.8999999999999998E-3</v>
      </c>
      <c r="M39" s="12" t="s">
        <v>855</v>
      </c>
    </row>
    <row r="40" spans="7:13">
      <c r="G40" s="16" t="s">
        <v>1657</v>
      </c>
      <c r="H40" s="4" t="s">
        <v>493</v>
      </c>
      <c r="I40" s="13">
        <v>83</v>
      </c>
      <c r="J40" s="2" t="s">
        <v>840</v>
      </c>
      <c r="K40" s="10">
        <v>45223</v>
      </c>
      <c r="L40" s="14">
        <v>7.000000000000001E-4</v>
      </c>
      <c r="M40" s="12" t="s">
        <v>855</v>
      </c>
    </row>
    <row r="41" spans="7:13">
      <c r="G41" s="16" t="s">
        <v>982</v>
      </c>
      <c r="H41" s="4" t="s">
        <v>183</v>
      </c>
      <c r="I41" s="13">
        <v>244</v>
      </c>
      <c r="J41" s="2" t="s">
        <v>853</v>
      </c>
      <c r="K41" s="10">
        <v>45210</v>
      </c>
      <c r="L41" s="14">
        <v>7.9000000000000008E-3</v>
      </c>
      <c r="M41" s="12" t="s">
        <v>828</v>
      </c>
    </row>
    <row r="42" spans="7:13">
      <c r="G42" s="16" t="s">
        <v>1183</v>
      </c>
      <c r="H42" s="4" t="s">
        <v>82</v>
      </c>
      <c r="I42" s="13">
        <v>270</v>
      </c>
      <c r="J42" s="2" t="s">
        <v>838</v>
      </c>
      <c r="K42" s="10">
        <v>45216</v>
      </c>
      <c r="L42" s="14">
        <v>3.0000000000000001E-3</v>
      </c>
      <c r="M42" s="12" t="s">
        <v>828</v>
      </c>
    </row>
    <row r="43" spans="7:13">
      <c r="G43" s="16" t="s">
        <v>1545</v>
      </c>
      <c r="H43" s="4" t="s">
        <v>667</v>
      </c>
      <c r="I43" s="13">
        <v>90</v>
      </c>
      <c r="J43" s="2" t="s">
        <v>848</v>
      </c>
      <c r="K43" s="10">
        <v>45204</v>
      </c>
      <c r="L43" s="14">
        <v>4.5000000000000005E-3</v>
      </c>
      <c r="M43" s="12" t="s">
        <v>844</v>
      </c>
    </row>
    <row r="44" spans="7:13">
      <c r="G44" s="16" t="s">
        <v>984</v>
      </c>
      <c r="H44" s="4" t="s">
        <v>270</v>
      </c>
      <c r="I44" s="13">
        <v>148</v>
      </c>
      <c r="J44" s="2" t="s">
        <v>848</v>
      </c>
      <c r="K44" s="10">
        <v>45204</v>
      </c>
      <c r="L44" s="14">
        <v>4.5000000000000005E-3</v>
      </c>
      <c r="M44" s="12" t="s">
        <v>844</v>
      </c>
    </row>
    <row r="45" spans="7:13">
      <c r="G45" s="16" t="s">
        <v>1140</v>
      </c>
      <c r="H45" s="4" t="s">
        <v>322</v>
      </c>
      <c r="I45" s="13">
        <v>67</v>
      </c>
      <c r="J45" s="2" t="s">
        <v>848</v>
      </c>
      <c r="K45" s="10">
        <v>45218</v>
      </c>
      <c r="L45" s="14">
        <v>3.9500000000000004E-3</v>
      </c>
      <c r="M45" s="12" t="s">
        <v>865</v>
      </c>
    </row>
    <row r="46" spans="7:13">
      <c r="G46" s="16" t="s">
        <v>973</v>
      </c>
      <c r="H46" s="4" t="s">
        <v>460</v>
      </c>
      <c r="I46" s="13">
        <v>1038</v>
      </c>
      <c r="J46" s="2" t="s">
        <v>835</v>
      </c>
      <c r="K46" s="10">
        <v>45188</v>
      </c>
      <c r="L46" s="14">
        <v>1E-3</v>
      </c>
      <c r="M46" s="12" t="s">
        <v>871</v>
      </c>
    </row>
    <row r="47" spans="7:13">
      <c r="G47" s="16" t="s">
        <v>1301</v>
      </c>
      <c r="H47" s="4" t="s">
        <v>429</v>
      </c>
      <c r="I47" s="13">
        <v>750</v>
      </c>
      <c r="J47" s="2" t="s">
        <v>835</v>
      </c>
      <c r="K47" s="10">
        <v>45190</v>
      </c>
      <c r="L47" s="14">
        <v>5.9999999999999995E-4</v>
      </c>
      <c r="M47" s="12" t="s">
        <v>869</v>
      </c>
    </row>
    <row r="48" spans="7:13">
      <c r="G48" s="16" t="s">
        <v>980</v>
      </c>
      <c r="H48" s="4" t="s">
        <v>782</v>
      </c>
      <c r="I48" s="13">
        <v>25382</v>
      </c>
      <c r="J48" s="2" t="s">
        <v>835</v>
      </c>
      <c r="K48" s="10">
        <v>45181</v>
      </c>
      <c r="L48" s="14">
        <v>5.0000000000000001E-4</v>
      </c>
      <c r="M48" s="12" t="s">
        <v>831</v>
      </c>
    </row>
    <row r="49" spans="7:13">
      <c r="G49" s="16" t="s">
        <v>1480</v>
      </c>
      <c r="H49" s="4" t="s">
        <v>704</v>
      </c>
      <c r="I49" s="13">
        <v>103</v>
      </c>
      <c r="J49" s="2" t="s">
        <v>843</v>
      </c>
      <c r="K49" s="10">
        <v>45188</v>
      </c>
      <c r="L49" s="14">
        <v>2.5000000000000001E-3</v>
      </c>
      <c r="M49" s="12" t="s">
        <v>828</v>
      </c>
    </row>
    <row r="50" spans="7:13">
      <c r="G50" s="16" t="s">
        <v>1581</v>
      </c>
      <c r="H50" s="4" t="s">
        <v>325</v>
      </c>
      <c r="I50" s="13">
        <v>121</v>
      </c>
      <c r="J50" s="2" t="s">
        <v>853</v>
      </c>
      <c r="K50" s="10">
        <v>45188</v>
      </c>
      <c r="L50" s="14">
        <v>4.8999999999999998E-3</v>
      </c>
      <c r="M50" s="12" t="s">
        <v>828</v>
      </c>
    </row>
    <row r="51" spans="7:13">
      <c r="G51" s="16" t="s">
        <v>987</v>
      </c>
      <c r="H51" s="4" t="s">
        <v>301</v>
      </c>
      <c r="I51" s="13">
        <v>57</v>
      </c>
      <c r="J51" s="2" t="s">
        <v>854</v>
      </c>
      <c r="K51" s="10">
        <v>45181</v>
      </c>
      <c r="L51" s="14">
        <v>6.0000000000000001E-3</v>
      </c>
      <c r="M51" s="12" t="s">
        <v>839</v>
      </c>
    </row>
    <row r="52" spans="7:13">
      <c r="G52" s="16" t="s">
        <v>1074</v>
      </c>
      <c r="H52" s="4" t="s">
        <v>558</v>
      </c>
      <c r="I52" s="13">
        <v>73</v>
      </c>
      <c r="J52" s="2" t="s">
        <v>854</v>
      </c>
      <c r="K52" s="10">
        <v>45181</v>
      </c>
      <c r="L52" s="14">
        <v>6.0000000000000001E-3</v>
      </c>
      <c r="M52" s="12" t="s">
        <v>839</v>
      </c>
    </row>
    <row r="53" spans="7:13">
      <c r="G53" s="16" t="s">
        <v>1437</v>
      </c>
      <c r="H53" s="4" t="s">
        <v>590</v>
      </c>
      <c r="I53" s="13">
        <v>685</v>
      </c>
      <c r="J53" s="2" t="s">
        <v>853</v>
      </c>
      <c r="K53" s="10">
        <v>45181</v>
      </c>
      <c r="L53" s="14">
        <v>3.0000000000000001E-3</v>
      </c>
      <c r="M53" s="12" t="s">
        <v>839</v>
      </c>
    </row>
    <row r="54" spans="7:13">
      <c r="G54" s="16" t="s">
        <v>1068</v>
      </c>
      <c r="H54" s="4" t="s">
        <v>216</v>
      </c>
      <c r="I54" s="13">
        <v>1362</v>
      </c>
      <c r="J54" s="2" t="s">
        <v>836</v>
      </c>
      <c r="K54" s="10">
        <v>45181</v>
      </c>
      <c r="L54" s="14">
        <v>4.8999999999999998E-3</v>
      </c>
      <c r="M54" s="12" t="s">
        <v>837</v>
      </c>
    </row>
    <row r="55" spans="7:13">
      <c r="G55" s="16" t="s">
        <v>1582</v>
      </c>
      <c r="H55" s="4" t="s">
        <v>518</v>
      </c>
      <c r="I55" s="13">
        <v>326</v>
      </c>
      <c r="J55" s="2" t="s">
        <v>848</v>
      </c>
      <c r="K55" s="10">
        <v>45181</v>
      </c>
      <c r="L55" s="14">
        <v>7.000000000000001E-4</v>
      </c>
      <c r="M55" s="12" t="s">
        <v>837</v>
      </c>
    </row>
    <row r="56" spans="7:13">
      <c r="G56" s="16" t="s">
        <v>1022</v>
      </c>
      <c r="H56" s="4" t="s">
        <v>275</v>
      </c>
      <c r="I56" s="13">
        <v>1009</v>
      </c>
      <c r="J56" s="2" t="s">
        <v>843</v>
      </c>
      <c r="K56" s="10">
        <v>45167</v>
      </c>
      <c r="L56" s="14">
        <v>4.8999999999999998E-3</v>
      </c>
      <c r="M56" s="12" t="s">
        <v>828</v>
      </c>
    </row>
    <row r="57" spans="7:13">
      <c r="G57" s="16" t="s">
        <v>951</v>
      </c>
      <c r="H57" s="4" t="s">
        <v>289</v>
      </c>
      <c r="I57" s="13">
        <v>127</v>
      </c>
      <c r="J57" s="2" t="s">
        <v>853</v>
      </c>
      <c r="K57" s="10">
        <v>45169</v>
      </c>
      <c r="L57" s="14">
        <v>5.0000000000000001E-3</v>
      </c>
      <c r="M57" s="12" t="s">
        <v>842</v>
      </c>
    </row>
    <row r="58" spans="7:13">
      <c r="G58" s="16" t="s">
        <v>1271</v>
      </c>
      <c r="H58" s="4" t="s">
        <v>447</v>
      </c>
      <c r="I58" s="13">
        <v>147</v>
      </c>
      <c r="J58" s="2" t="s">
        <v>848</v>
      </c>
      <c r="K58" s="10">
        <v>45160</v>
      </c>
      <c r="L58" s="14">
        <v>4.5000000000000005E-3</v>
      </c>
      <c r="M58" s="12" t="s">
        <v>844</v>
      </c>
    </row>
    <row r="59" spans="7:13">
      <c r="G59" s="16" t="s">
        <v>1351</v>
      </c>
      <c r="H59" s="4" t="s">
        <v>332</v>
      </c>
      <c r="I59" s="13">
        <v>182</v>
      </c>
      <c r="J59" s="2" t="s">
        <v>848</v>
      </c>
      <c r="K59" s="10">
        <v>45160</v>
      </c>
      <c r="L59" s="14">
        <v>4.5000000000000005E-3</v>
      </c>
      <c r="M59" s="12" t="s">
        <v>844</v>
      </c>
    </row>
    <row r="60" spans="7:13">
      <c r="G60" s="16" t="s">
        <v>1272</v>
      </c>
      <c r="H60" s="4" t="s">
        <v>725</v>
      </c>
      <c r="I60" s="13">
        <v>1675</v>
      </c>
      <c r="J60" s="2" t="s">
        <v>835</v>
      </c>
      <c r="K60" s="10">
        <v>45155</v>
      </c>
      <c r="L60" s="14">
        <v>5.0000000000000001E-4</v>
      </c>
      <c r="M60" s="12" t="s">
        <v>837</v>
      </c>
    </row>
    <row r="61" spans="7:13">
      <c r="G61" s="16" t="s">
        <v>1455</v>
      </c>
      <c r="H61" s="4" t="s">
        <v>52</v>
      </c>
      <c r="I61" s="13">
        <v>198</v>
      </c>
      <c r="J61" s="2" t="s">
        <v>841</v>
      </c>
      <c r="K61" s="10">
        <v>45160</v>
      </c>
      <c r="L61" s="14">
        <v>1.5E-3</v>
      </c>
      <c r="M61" s="12" t="s">
        <v>842</v>
      </c>
    </row>
    <row r="62" spans="7:13">
      <c r="G62" s="16" t="s">
        <v>1066</v>
      </c>
      <c r="H62" s="4" t="s">
        <v>214</v>
      </c>
      <c r="I62" s="13">
        <v>247</v>
      </c>
      <c r="J62" s="2" t="s">
        <v>853</v>
      </c>
      <c r="K62" s="10">
        <v>45155</v>
      </c>
      <c r="L62" s="14">
        <v>4.8999999999999998E-3</v>
      </c>
      <c r="M62" s="12" t="s">
        <v>828</v>
      </c>
    </row>
    <row r="63" spans="7:13">
      <c r="G63" s="16" t="s">
        <v>1495</v>
      </c>
      <c r="H63" s="4" t="s">
        <v>362</v>
      </c>
      <c r="I63" s="13">
        <v>523</v>
      </c>
      <c r="J63" s="2" t="s">
        <v>835</v>
      </c>
      <c r="K63" s="10">
        <v>45155</v>
      </c>
      <c r="L63" s="14">
        <v>7.000000000000001E-4</v>
      </c>
      <c r="M63" s="12" t="s">
        <v>855</v>
      </c>
    </row>
    <row r="64" spans="7:13">
      <c r="G64" s="16" t="s">
        <v>1541</v>
      </c>
      <c r="H64" s="4" t="s">
        <v>184</v>
      </c>
      <c r="I64" s="13">
        <v>1893</v>
      </c>
      <c r="J64" s="2" t="s">
        <v>835</v>
      </c>
      <c r="K64" s="10">
        <v>45155</v>
      </c>
      <c r="L64" s="14">
        <v>5.0000000000000001E-4</v>
      </c>
      <c r="M64" s="12" t="s">
        <v>855</v>
      </c>
    </row>
    <row r="65" spans="7:13">
      <c r="G65" s="16" t="s">
        <v>1023</v>
      </c>
      <c r="H65" s="4" t="s">
        <v>485</v>
      </c>
      <c r="I65" s="13">
        <v>82</v>
      </c>
      <c r="J65" s="2" t="s">
        <v>853</v>
      </c>
      <c r="K65" s="10">
        <v>45139</v>
      </c>
      <c r="L65" s="14">
        <v>4.5000000000000005E-3</v>
      </c>
      <c r="M65" s="12" t="s">
        <v>849</v>
      </c>
    </row>
    <row r="66" spans="7:13">
      <c r="G66" s="16" t="s">
        <v>937</v>
      </c>
      <c r="H66" s="4" t="s">
        <v>179</v>
      </c>
      <c r="I66" s="13">
        <v>104</v>
      </c>
      <c r="J66" s="2" t="s">
        <v>853</v>
      </c>
      <c r="K66" s="10">
        <v>45139</v>
      </c>
      <c r="L66" s="14">
        <v>2.5000000000000001E-3</v>
      </c>
      <c r="M66" s="12" t="s">
        <v>831</v>
      </c>
    </row>
    <row r="67" spans="7:13">
      <c r="G67" s="16" t="s">
        <v>1281</v>
      </c>
      <c r="H67" s="4" t="s">
        <v>212</v>
      </c>
      <c r="I67" s="13">
        <v>113</v>
      </c>
      <c r="J67" s="2" t="s">
        <v>853</v>
      </c>
      <c r="K67" s="10">
        <v>45139</v>
      </c>
      <c r="L67" s="14">
        <v>2.5000000000000001E-3</v>
      </c>
      <c r="M67" s="12" t="s">
        <v>831</v>
      </c>
    </row>
    <row r="68" spans="7:13">
      <c r="G68" s="16" t="s">
        <v>999</v>
      </c>
      <c r="H68" s="4" t="s">
        <v>662</v>
      </c>
      <c r="I68" s="13">
        <v>97</v>
      </c>
      <c r="J68" s="2" t="s">
        <v>853</v>
      </c>
      <c r="K68" s="10">
        <v>45139</v>
      </c>
      <c r="L68" s="14">
        <v>2.5000000000000001E-3</v>
      </c>
      <c r="M68" s="12" t="s">
        <v>831</v>
      </c>
    </row>
    <row r="69" spans="7:13">
      <c r="G69" s="16" t="s">
        <v>1450</v>
      </c>
      <c r="H69" s="4" t="s">
        <v>587</v>
      </c>
      <c r="I69" s="13">
        <v>325</v>
      </c>
      <c r="J69" s="2" t="s">
        <v>832</v>
      </c>
      <c r="K69" s="10">
        <v>45146</v>
      </c>
      <c r="L69" s="14">
        <v>5.0000000000000001E-4</v>
      </c>
      <c r="M69" s="12" t="s">
        <v>837</v>
      </c>
    </row>
    <row r="70" spans="7:13">
      <c r="G70" s="16" t="s">
        <v>1304</v>
      </c>
      <c r="H70" s="4" t="s">
        <v>263</v>
      </c>
      <c r="I70" s="13">
        <v>1357</v>
      </c>
      <c r="J70" s="2" t="s">
        <v>835</v>
      </c>
      <c r="K70" s="10">
        <v>45141</v>
      </c>
      <c r="L70" s="14">
        <v>8.0000000000000004E-4</v>
      </c>
      <c r="M70" s="12" t="s">
        <v>871</v>
      </c>
    </row>
    <row r="71" spans="7:13">
      <c r="G71" s="16" t="s">
        <v>1078</v>
      </c>
      <c r="H71" s="4" t="s">
        <v>288</v>
      </c>
      <c r="I71" s="13">
        <v>151</v>
      </c>
      <c r="J71" s="2" t="s">
        <v>848</v>
      </c>
      <c r="K71" s="10">
        <v>45132</v>
      </c>
      <c r="L71" s="14">
        <v>4.5000000000000005E-3</v>
      </c>
      <c r="M71" s="12" t="s">
        <v>828</v>
      </c>
    </row>
    <row r="72" spans="7:13">
      <c r="G72" s="16" t="s">
        <v>1061</v>
      </c>
      <c r="H72" s="4" t="s">
        <v>300</v>
      </c>
      <c r="I72" s="13">
        <v>686</v>
      </c>
      <c r="J72" s="2" t="s">
        <v>848</v>
      </c>
      <c r="K72" s="10">
        <v>45155</v>
      </c>
      <c r="L72" s="14">
        <v>8.0000000000000002E-3</v>
      </c>
      <c r="M72" s="12" t="s">
        <v>866</v>
      </c>
    </row>
    <row r="73" spans="7:13">
      <c r="G73" s="16" t="s">
        <v>1494</v>
      </c>
      <c r="H73" s="4" t="s">
        <v>469</v>
      </c>
      <c r="I73" s="13">
        <v>1076</v>
      </c>
      <c r="J73" s="2" t="s">
        <v>848</v>
      </c>
      <c r="K73" s="10">
        <v>45141</v>
      </c>
      <c r="L73" s="14">
        <v>5.0000000000000001E-3</v>
      </c>
      <c r="M73" s="12" t="s">
        <v>874</v>
      </c>
    </row>
    <row r="74" spans="7:13">
      <c r="G74" s="16" t="s">
        <v>1134</v>
      </c>
      <c r="H74" s="4" t="s">
        <v>749</v>
      </c>
      <c r="I74" s="13">
        <v>1280</v>
      </c>
      <c r="J74" s="2" t="s">
        <v>835</v>
      </c>
      <c r="K74" s="10">
        <v>45146</v>
      </c>
      <c r="L74" s="14">
        <v>5.0000000000000001E-4</v>
      </c>
      <c r="M74" s="12" t="s">
        <v>844</v>
      </c>
    </row>
    <row r="75" spans="7:13">
      <c r="G75" s="16" t="s">
        <v>1040</v>
      </c>
      <c r="H75" s="4" t="s">
        <v>91</v>
      </c>
      <c r="I75" s="13">
        <v>72</v>
      </c>
      <c r="J75" s="2" t="s">
        <v>832</v>
      </c>
      <c r="K75" s="10">
        <v>45132</v>
      </c>
      <c r="L75" s="14">
        <v>9.9000000000000008E-3</v>
      </c>
      <c r="M75" s="12" t="s">
        <v>833</v>
      </c>
    </row>
    <row r="76" spans="7:13">
      <c r="G76" s="16" t="s">
        <v>1449</v>
      </c>
      <c r="H76" s="4" t="s">
        <v>702</v>
      </c>
      <c r="I76" s="13">
        <v>1024</v>
      </c>
      <c r="J76" s="2" t="s">
        <v>848</v>
      </c>
      <c r="K76" s="10">
        <v>45111</v>
      </c>
      <c r="L76" s="14">
        <v>4.8999999999999998E-3</v>
      </c>
      <c r="M76" s="12" t="s">
        <v>831</v>
      </c>
    </row>
    <row r="77" spans="7:13">
      <c r="G77" s="16" t="s">
        <v>1312</v>
      </c>
      <c r="H77" s="4" t="s">
        <v>526</v>
      </c>
      <c r="I77" s="13">
        <v>7885</v>
      </c>
      <c r="J77" s="2" t="s">
        <v>848</v>
      </c>
      <c r="K77" s="10">
        <v>45120</v>
      </c>
      <c r="L77" s="14">
        <v>3.9000000000000003E-3</v>
      </c>
      <c r="M77" s="12" t="s">
        <v>828</v>
      </c>
    </row>
    <row r="78" spans="7:13">
      <c r="G78" s="16" t="s">
        <v>1490</v>
      </c>
      <c r="H78" s="4" t="s">
        <v>691</v>
      </c>
      <c r="I78" s="13">
        <v>1484</v>
      </c>
      <c r="J78" s="2" t="s">
        <v>848</v>
      </c>
      <c r="K78" s="10">
        <v>45111</v>
      </c>
      <c r="L78" s="14">
        <v>3.9000000000000003E-3</v>
      </c>
      <c r="M78" s="12" t="s">
        <v>831</v>
      </c>
    </row>
    <row r="79" spans="7:13">
      <c r="G79" s="16" t="s">
        <v>1197</v>
      </c>
      <c r="H79" s="4" t="s">
        <v>731</v>
      </c>
      <c r="I79" s="13">
        <v>85</v>
      </c>
      <c r="J79" s="2" t="s">
        <v>854</v>
      </c>
      <c r="K79" s="10">
        <v>45125</v>
      </c>
      <c r="L79" s="14">
        <v>8.0000000000000002E-3</v>
      </c>
      <c r="M79" s="12" t="s">
        <v>842</v>
      </c>
    </row>
    <row r="80" spans="7:13">
      <c r="G80" s="16" t="s">
        <v>1243</v>
      </c>
      <c r="H80" s="4" t="s">
        <v>406</v>
      </c>
      <c r="I80" s="13">
        <v>43</v>
      </c>
      <c r="J80" s="2" t="s">
        <v>843</v>
      </c>
      <c r="K80" s="10">
        <v>45125</v>
      </c>
      <c r="L80" s="14">
        <v>5.0000000000000001E-3</v>
      </c>
      <c r="M80" s="12" t="s">
        <v>842</v>
      </c>
    </row>
    <row r="81" spans="7:13">
      <c r="G81" s="16" t="s">
        <v>1607</v>
      </c>
      <c r="H81" s="4" t="s">
        <v>38</v>
      </c>
      <c r="I81" s="13">
        <v>79</v>
      </c>
      <c r="J81" s="2" t="s">
        <v>841</v>
      </c>
      <c r="K81" s="10">
        <v>45118</v>
      </c>
      <c r="L81" s="14">
        <v>5.0000000000000001E-4</v>
      </c>
      <c r="M81" s="12" t="s">
        <v>844</v>
      </c>
    </row>
    <row r="82" spans="7:13">
      <c r="G82" s="16" t="s">
        <v>1249</v>
      </c>
      <c r="H82" s="4" t="s">
        <v>128</v>
      </c>
      <c r="I82" s="13">
        <v>96</v>
      </c>
      <c r="J82" s="2" t="s">
        <v>840</v>
      </c>
      <c r="K82" s="10">
        <v>45106</v>
      </c>
      <c r="L82" s="14">
        <v>1.5E-3</v>
      </c>
      <c r="M82" s="12" t="s">
        <v>828</v>
      </c>
    </row>
    <row r="83" spans="7:13">
      <c r="G83" s="16" t="s">
        <v>1412</v>
      </c>
      <c r="H83" s="4" t="s">
        <v>783</v>
      </c>
      <c r="I83" s="13">
        <v>530</v>
      </c>
      <c r="J83" s="2" t="s">
        <v>835</v>
      </c>
      <c r="K83" s="10">
        <v>45225</v>
      </c>
      <c r="L83" s="14">
        <v>2.0000000000000001E-4</v>
      </c>
      <c r="M83" s="12" t="s">
        <v>849</v>
      </c>
    </row>
    <row r="84" spans="7:13">
      <c r="G84" s="16" t="s">
        <v>1123</v>
      </c>
      <c r="H84" s="4" t="s">
        <v>717</v>
      </c>
      <c r="I84" s="13">
        <v>63</v>
      </c>
      <c r="J84" s="2" t="s">
        <v>847</v>
      </c>
      <c r="K84" s="10">
        <v>45104</v>
      </c>
      <c r="L84" s="14">
        <v>2E-3</v>
      </c>
      <c r="M84" s="12" t="s">
        <v>837</v>
      </c>
    </row>
    <row r="85" spans="7:13">
      <c r="G85" s="16" t="s">
        <v>1575</v>
      </c>
      <c r="H85" s="4" t="s">
        <v>795</v>
      </c>
      <c r="I85" s="13">
        <v>3674</v>
      </c>
      <c r="J85" s="2" t="s">
        <v>835</v>
      </c>
      <c r="K85" s="10">
        <v>45125</v>
      </c>
      <c r="L85" s="14">
        <v>4.4999999999999999E-4</v>
      </c>
      <c r="M85" s="12" t="s">
        <v>842</v>
      </c>
    </row>
    <row r="86" spans="7:13">
      <c r="G86" s="16" t="s">
        <v>1275</v>
      </c>
      <c r="H86" s="4" t="s">
        <v>549</v>
      </c>
      <c r="I86" s="13">
        <v>107</v>
      </c>
      <c r="J86" s="2" t="s">
        <v>840</v>
      </c>
      <c r="K86" s="10">
        <v>45106</v>
      </c>
      <c r="L86" s="14">
        <v>8.9999999999999998E-4</v>
      </c>
      <c r="M86" s="12" t="s">
        <v>831</v>
      </c>
    </row>
    <row r="87" spans="7:13">
      <c r="G87" s="16" t="s">
        <v>1536</v>
      </c>
      <c r="H87" s="4" t="s">
        <v>512</v>
      </c>
      <c r="I87" s="13">
        <v>34</v>
      </c>
      <c r="J87" s="2" t="s">
        <v>853</v>
      </c>
      <c r="K87" s="10">
        <v>45118</v>
      </c>
      <c r="L87" s="14">
        <v>6.0000000000000001E-3</v>
      </c>
      <c r="M87" s="12" t="s">
        <v>849</v>
      </c>
    </row>
    <row r="88" spans="7:13">
      <c r="G88" s="16" t="s">
        <v>1605</v>
      </c>
      <c r="H88" s="4" t="s">
        <v>677</v>
      </c>
      <c r="I88" s="13">
        <v>1064</v>
      </c>
      <c r="J88" s="2" t="s">
        <v>835</v>
      </c>
      <c r="K88" s="10">
        <v>45097</v>
      </c>
      <c r="L88" s="14">
        <v>5.0000000000000001E-4</v>
      </c>
      <c r="M88" s="12" t="s">
        <v>839</v>
      </c>
    </row>
    <row r="89" spans="7:13">
      <c r="G89" s="16" t="s">
        <v>1348</v>
      </c>
      <c r="H89" s="4" t="s">
        <v>451</v>
      </c>
      <c r="I89" s="13">
        <v>774</v>
      </c>
      <c r="J89" s="2" t="s">
        <v>835</v>
      </c>
      <c r="K89" s="10">
        <v>45097</v>
      </c>
      <c r="L89" s="14">
        <v>5.0000000000000001E-4</v>
      </c>
      <c r="M89" s="12" t="s">
        <v>839</v>
      </c>
    </row>
    <row r="90" spans="7:13">
      <c r="G90" s="16" t="s">
        <v>1039</v>
      </c>
      <c r="H90" s="4" t="s">
        <v>145</v>
      </c>
      <c r="I90" s="13">
        <v>81</v>
      </c>
      <c r="J90" s="2" t="s">
        <v>847</v>
      </c>
      <c r="K90" s="10">
        <v>45118</v>
      </c>
      <c r="L90" s="14">
        <v>2.3999999999999998E-3</v>
      </c>
      <c r="M90" s="12" t="s">
        <v>839</v>
      </c>
    </row>
    <row r="91" spans="7:13">
      <c r="G91" s="16" t="s">
        <v>1457</v>
      </c>
      <c r="H91" s="4" t="s">
        <v>705</v>
      </c>
      <c r="I91" s="13">
        <v>82</v>
      </c>
      <c r="J91" s="2" t="s">
        <v>843</v>
      </c>
      <c r="K91" s="10">
        <v>45104</v>
      </c>
      <c r="L91" s="14">
        <v>5.0000000000000001E-4</v>
      </c>
      <c r="M91" s="12" t="s">
        <v>837</v>
      </c>
    </row>
    <row r="92" spans="7:13">
      <c r="G92" s="16" t="s">
        <v>1435</v>
      </c>
      <c r="H92" s="4" t="s">
        <v>47</v>
      </c>
      <c r="I92" s="13">
        <v>67</v>
      </c>
      <c r="J92" s="2" t="s">
        <v>848</v>
      </c>
      <c r="K92" s="10">
        <v>45104</v>
      </c>
      <c r="L92" s="14">
        <v>4.0000000000000001E-3</v>
      </c>
      <c r="M92" s="12" t="s">
        <v>855</v>
      </c>
    </row>
    <row r="93" spans="7:13">
      <c r="G93" s="16" t="s">
        <v>1472</v>
      </c>
      <c r="H93" s="4" t="s">
        <v>540</v>
      </c>
      <c r="I93" s="13">
        <v>85</v>
      </c>
      <c r="J93" s="2" t="s">
        <v>856</v>
      </c>
      <c r="K93" s="10">
        <v>45097</v>
      </c>
      <c r="L93" s="14">
        <v>5.0000000000000001E-4</v>
      </c>
      <c r="M93" s="12" t="s">
        <v>855</v>
      </c>
    </row>
    <row r="94" spans="7:13">
      <c r="G94" s="16" t="s">
        <v>1217</v>
      </c>
      <c r="H94" s="4" t="s">
        <v>194</v>
      </c>
      <c r="I94" s="13">
        <v>82</v>
      </c>
      <c r="J94" s="2" t="s">
        <v>832</v>
      </c>
      <c r="K94" s="10">
        <v>45104</v>
      </c>
      <c r="L94" s="14">
        <v>7.6E-3</v>
      </c>
      <c r="M94" s="12" t="s">
        <v>855</v>
      </c>
    </row>
    <row r="95" spans="7:13">
      <c r="G95" s="16" t="s">
        <v>1526</v>
      </c>
      <c r="H95" s="4" t="s">
        <v>187</v>
      </c>
      <c r="I95" s="13">
        <v>74</v>
      </c>
      <c r="J95" s="2" t="s">
        <v>832</v>
      </c>
      <c r="K95" s="10">
        <v>45104</v>
      </c>
      <c r="L95" s="14">
        <v>2E-3</v>
      </c>
      <c r="M95" s="12" t="s">
        <v>837</v>
      </c>
    </row>
    <row r="96" spans="7:13">
      <c r="G96" s="16" t="s">
        <v>950</v>
      </c>
      <c r="H96" s="4" t="s">
        <v>424</v>
      </c>
      <c r="I96" s="13">
        <v>61531</v>
      </c>
      <c r="J96" s="2" t="s">
        <v>857</v>
      </c>
      <c r="K96" s="10">
        <v>45085</v>
      </c>
      <c r="L96" s="14">
        <v>2.0000000000000001E-4</v>
      </c>
      <c r="M96" s="12" t="s">
        <v>831</v>
      </c>
    </row>
    <row r="97" spans="7:13">
      <c r="G97" s="16" t="s">
        <v>957</v>
      </c>
      <c r="H97" s="4" t="s">
        <v>63</v>
      </c>
      <c r="I97" s="13">
        <v>102</v>
      </c>
      <c r="J97" s="2" t="s">
        <v>854</v>
      </c>
      <c r="K97" s="10">
        <v>45085</v>
      </c>
      <c r="L97" s="14">
        <v>1.8E-3</v>
      </c>
      <c r="M97" s="12" t="s">
        <v>831</v>
      </c>
    </row>
    <row r="98" spans="7:13">
      <c r="G98" s="16" t="s">
        <v>1342</v>
      </c>
      <c r="H98" s="4" t="s">
        <v>612</v>
      </c>
      <c r="I98" s="13">
        <v>67</v>
      </c>
      <c r="J98" s="2" t="s">
        <v>854</v>
      </c>
      <c r="K98" s="10">
        <v>45097</v>
      </c>
      <c r="L98" s="14">
        <v>5.5000000000000005E-3</v>
      </c>
      <c r="M98" s="12" t="s">
        <v>844</v>
      </c>
    </row>
    <row r="99" spans="7:13">
      <c r="G99" s="16" t="s">
        <v>1046</v>
      </c>
      <c r="H99" s="4" t="s">
        <v>699</v>
      </c>
      <c r="I99" s="13">
        <v>2512</v>
      </c>
      <c r="J99" s="2" t="s">
        <v>854</v>
      </c>
      <c r="K99" s="10">
        <v>45097</v>
      </c>
      <c r="L99" s="14">
        <v>3.9000000000000003E-3</v>
      </c>
      <c r="M99" s="12" t="s">
        <v>828</v>
      </c>
    </row>
    <row r="100" spans="7:13">
      <c r="G100" s="16" t="s">
        <v>888</v>
      </c>
      <c r="H100" s="4" t="s">
        <v>242</v>
      </c>
      <c r="I100" s="13">
        <v>344</v>
      </c>
      <c r="J100" s="2" t="s">
        <v>854</v>
      </c>
      <c r="K100" s="10">
        <v>45097</v>
      </c>
      <c r="L100" s="14">
        <v>3.9000000000000003E-3</v>
      </c>
      <c r="M100" s="12" t="s">
        <v>828</v>
      </c>
    </row>
    <row r="101" spans="7:13">
      <c r="G101" s="16" t="s">
        <v>1496</v>
      </c>
      <c r="H101" s="4" t="s">
        <v>428</v>
      </c>
      <c r="I101" s="13">
        <v>3049</v>
      </c>
      <c r="J101" s="2" t="s">
        <v>843</v>
      </c>
      <c r="K101" s="10">
        <v>45097</v>
      </c>
      <c r="L101" s="14">
        <v>1E-4</v>
      </c>
      <c r="M101" s="12" t="s">
        <v>828</v>
      </c>
    </row>
    <row r="102" spans="7:13">
      <c r="G102" s="16" t="s">
        <v>1439</v>
      </c>
      <c r="H102" s="4" t="s">
        <v>350</v>
      </c>
      <c r="I102" s="13">
        <v>733</v>
      </c>
      <c r="J102" s="2" t="s">
        <v>841</v>
      </c>
      <c r="K102" s="10">
        <v>45077</v>
      </c>
      <c r="L102" s="14">
        <v>1.4000000000000002E-3</v>
      </c>
      <c r="M102" s="12" t="s">
        <v>828</v>
      </c>
    </row>
    <row r="103" spans="7:13">
      <c r="G103" s="16" t="s">
        <v>1323</v>
      </c>
      <c r="H103" s="4" t="s">
        <v>666</v>
      </c>
      <c r="I103" s="13">
        <v>1620</v>
      </c>
      <c r="J103" s="2" t="s">
        <v>856</v>
      </c>
      <c r="K103" s="10">
        <v>45077</v>
      </c>
      <c r="L103" s="14">
        <v>1.5E-3</v>
      </c>
      <c r="M103" s="12" t="s">
        <v>828</v>
      </c>
    </row>
    <row r="104" spans="7:13">
      <c r="G104" s="16" t="s">
        <v>1232</v>
      </c>
      <c r="H104" s="4" t="s">
        <v>425</v>
      </c>
      <c r="I104" s="13">
        <v>2654</v>
      </c>
      <c r="J104" s="2" t="s">
        <v>868</v>
      </c>
      <c r="K104" s="10">
        <v>45069</v>
      </c>
      <c r="L104" s="14">
        <v>2.9999999999999997E-4</v>
      </c>
      <c r="M104" s="12" t="s">
        <v>855</v>
      </c>
    </row>
    <row r="105" spans="7:13">
      <c r="G105" s="16" t="s">
        <v>1447</v>
      </c>
      <c r="H105" s="4" t="s">
        <v>341</v>
      </c>
      <c r="I105" s="13">
        <v>589</v>
      </c>
      <c r="J105" s="2" t="s">
        <v>835</v>
      </c>
      <c r="K105" s="10">
        <v>45077</v>
      </c>
      <c r="L105" s="14">
        <v>6.5000000000000008E-4</v>
      </c>
      <c r="M105" s="12" t="s">
        <v>834</v>
      </c>
    </row>
    <row r="106" spans="7:13">
      <c r="G106" s="16" t="s">
        <v>1058</v>
      </c>
      <c r="H106" s="4" t="s">
        <v>24</v>
      </c>
      <c r="I106" s="13">
        <v>40</v>
      </c>
      <c r="J106" s="2" t="s">
        <v>845</v>
      </c>
      <c r="K106" s="10">
        <v>45097</v>
      </c>
      <c r="L106" s="14">
        <v>4.5000000000000005E-3</v>
      </c>
      <c r="M106" s="12" t="s">
        <v>842</v>
      </c>
    </row>
    <row r="107" spans="7:13">
      <c r="G107" s="16" t="s">
        <v>1169</v>
      </c>
      <c r="H107" s="4" t="s">
        <v>592</v>
      </c>
      <c r="I107" s="13">
        <v>55</v>
      </c>
      <c r="J107" s="2" t="s">
        <v>845</v>
      </c>
      <c r="K107" s="10">
        <v>45097</v>
      </c>
      <c r="L107" s="14">
        <v>4.9500000000000004E-3</v>
      </c>
      <c r="M107" s="12" t="s">
        <v>865</v>
      </c>
    </row>
    <row r="108" spans="7:13">
      <c r="G108" s="16" t="s">
        <v>1381</v>
      </c>
      <c r="H108" s="4" t="s">
        <v>421</v>
      </c>
      <c r="I108" s="13">
        <v>162</v>
      </c>
      <c r="J108" s="2" t="s">
        <v>835</v>
      </c>
      <c r="K108" s="10">
        <v>45077</v>
      </c>
      <c r="L108" s="14">
        <v>1.5E-3</v>
      </c>
      <c r="M108" s="12" t="s">
        <v>831</v>
      </c>
    </row>
    <row r="109" spans="7:13">
      <c r="G109" s="16" t="s">
        <v>1649</v>
      </c>
      <c r="H109" s="4" t="s">
        <v>480</v>
      </c>
      <c r="I109" s="13">
        <v>103</v>
      </c>
      <c r="J109" s="2" t="s">
        <v>835</v>
      </c>
      <c r="K109" s="10">
        <v>45077</v>
      </c>
      <c r="L109" s="14">
        <v>1.5E-3</v>
      </c>
      <c r="M109" s="12" t="s">
        <v>831</v>
      </c>
    </row>
    <row r="110" spans="7:13">
      <c r="G110" s="16" t="s">
        <v>1037</v>
      </c>
      <c r="H110" s="4" t="s">
        <v>606</v>
      </c>
      <c r="I110" s="13">
        <v>2112</v>
      </c>
      <c r="J110" s="2" t="s">
        <v>843</v>
      </c>
      <c r="K110" s="10">
        <v>45062</v>
      </c>
      <c r="L110" s="14">
        <v>2.8999999999999998E-3</v>
      </c>
      <c r="M110" s="12" t="s">
        <v>839</v>
      </c>
    </row>
    <row r="111" spans="7:13">
      <c r="G111" s="16" t="s">
        <v>1141</v>
      </c>
      <c r="H111" s="4" t="s">
        <v>278</v>
      </c>
      <c r="I111" s="13">
        <v>1025</v>
      </c>
      <c r="J111" s="2" t="s">
        <v>850</v>
      </c>
      <c r="K111" s="10">
        <v>45041</v>
      </c>
      <c r="L111" s="14">
        <v>5.0000000000000001E-4</v>
      </c>
      <c r="M111" s="12" t="s">
        <v>839</v>
      </c>
    </row>
    <row r="112" spans="7:13">
      <c r="G112" s="16" t="s">
        <v>939</v>
      </c>
      <c r="H112" s="4" t="s">
        <v>314</v>
      </c>
      <c r="I112" s="13">
        <v>302</v>
      </c>
      <c r="J112" s="2" t="s">
        <v>854</v>
      </c>
      <c r="K112" s="10">
        <v>45055</v>
      </c>
      <c r="L112" s="14">
        <v>5.7999999999999996E-3</v>
      </c>
      <c r="M112" s="12" t="s">
        <v>828</v>
      </c>
    </row>
    <row r="113" spans="7:13">
      <c r="G113" s="16" t="s">
        <v>1415</v>
      </c>
      <c r="H113" s="4" t="s">
        <v>657</v>
      </c>
      <c r="I113" s="13">
        <v>1948</v>
      </c>
      <c r="J113" s="2" t="s">
        <v>856</v>
      </c>
      <c r="K113" s="10">
        <v>45055</v>
      </c>
      <c r="L113" s="14">
        <v>5.0000000000000001E-4</v>
      </c>
      <c r="M113" s="12" t="s">
        <v>828</v>
      </c>
    </row>
    <row r="114" spans="7:13">
      <c r="G114" s="16" t="s">
        <v>1356</v>
      </c>
      <c r="H114" s="4" t="s">
        <v>497</v>
      </c>
      <c r="I114" s="13">
        <v>1019</v>
      </c>
      <c r="J114" s="2" t="s">
        <v>853</v>
      </c>
      <c r="K114" s="10">
        <v>45062</v>
      </c>
      <c r="L114" s="14">
        <v>8.0000000000000002E-3</v>
      </c>
      <c r="M114" s="12" t="s">
        <v>866</v>
      </c>
    </row>
    <row r="115" spans="7:13">
      <c r="G115" s="16" t="s">
        <v>1288</v>
      </c>
      <c r="H115" s="4" t="s">
        <v>298</v>
      </c>
      <c r="I115" s="13">
        <v>264</v>
      </c>
      <c r="J115" s="2" t="s">
        <v>843</v>
      </c>
      <c r="K115" s="10">
        <v>45041</v>
      </c>
      <c r="L115" s="14">
        <v>4.5000000000000005E-3</v>
      </c>
      <c r="M115" s="12" t="s">
        <v>831</v>
      </c>
    </row>
    <row r="116" spans="7:13">
      <c r="G116" s="16" t="s">
        <v>1259</v>
      </c>
      <c r="H116" s="4" t="s">
        <v>117</v>
      </c>
      <c r="I116" s="13">
        <v>75</v>
      </c>
      <c r="J116" s="2" t="s">
        <v>856</v>
      </c>
      <c r="K116" s="10">
        <v>45055</v>
      </c>
      <c r="L116" s="14">
        <v>8.9999999999999998E-4</v>
      </c>
      <c r="M116" s="12" t="s">
        <v>842</v>
      </c>
    </row>
    <row r="117" spans="7:13">
      <c r="G117" s="16" t="s">
        <v>1216</v>
      </c>
      <c r="H117" s="4" t="s">
        <v>561</v>
      </c>
      <c r="I117" s="13">
        <v>63</v>
      </c>
      <c r="J117" s="2" t="s">
        <v>856</v>
      </c>
      <c r="K117" s="10">
        <v>45062</v>
      </c>
      <c r="L117" s="14">
        <v>2E-3</v>
      </c>
      <c r="M117" s="12" t="s">
        <v>849</v>
      </c>
    </row>
    <row r="118" spans="7:13">
      <c r="G118" s="16" t="s">
        <v>1253</v>
      </c>
      <c r="H118" s="4" t="s">
        <v>701</v>
      </c>
      <c r="I118" s="13">
        <v>101</v>
      </c>
      <c r="J118" s="2" t="s">
        <v>856</v>
      </c>
      <c r="K118" s="10">
        <v>45062</v>
      </c>
      <c r="L118" s="14">
        <v>5.0000000000000001E-4</v>
      </c>
      <c r="M118" s="12" t="s">
        <v>837</v>
      </c>
    </row>
    <row r="119" spans="7:13">
      <c r="G119" s="16" t="s">
        <v>1552</v>
      </c>
      <c r="H119" s="4" t="s">
        <v>67</v>
      </c>
      <c r="I119" s="13">
        <v>16647</v>
      </c>
      <c r="J119" s="2" t="s">
        <v>857</v>
      </c>
      <c r="K119" s="10">
        <v>45055</v>
      </c>
      <c r="L119" s="14">
        <v>5.0000000000000001E-4</v>
      </c>
      <c r="M119" s="12" t="s">
        <v>837</v>
      </c>
    </row>
    <row r="120" spans="7:13">
      <c r="G120" s="16" t="s">
        <v>1242</v>
      </c>
      <c r="H120" s="4" t="s">
        <v>87</v>
      </c>
      <c r="I120" s="13">
        <v>2209</v>
      </c>
      <c r="J120" s="2" t="s">
        <v>848</v>
      </c>
      <c r="K120" s="10">
        <v>45041</v>
      </c>
      <c r="L120" s="14">
        <v>4.5000000000000005E-3</v>
      </c>
      <c r="M120" s="12" t="s">
        <v>844</v>
      </c>
    </row>
    <row r="121" spans="7:13">
      <c r="G121" s="16" t="s">
        <v>1675</v>
      </c>
      <c r="H121" s="4" t="s">
        <v>476</v>
      </c>
      <c r="I121" s="13">
        <v>2669</v>
      </c>
      <c r="J121" s="2" t="s">
        <v>848</v>
      </c>
      <c r="K121" s="10">
        <v>45041</v>
      </c>
      <c r="L121" s="14">
        <v>4.5000000000000005E-3</v>
      </c>
      <c r="M121" s="12" t="s">
        <v>844</v>
      </c>
    </row>
    <row r="122" spans="7:13">
      <c r="G122" s="16" t="s">
        <v>1506</v>
      </c>
      <c r="H122" s="4" t="s">
        <v>383</v>
      </c>
      <c r="I122" s="13">
        <v>91</v>
      </c>
      <c r="J122" s="2" t="s">
        <v>841</v>
      </c>
      <c r="K122" s="10">
        <v>45034</v>
      </c>
      <c r="L122" s="14">
        <v>2.3999999999999998E-3</v>
      </c>
      <c r="M122" s="12" t="s">
        <v>839</v>
      </c>
    </row>
    <row r="123" spans="7:13">
      <c r="G123" s="16" t="s">
        <v>1254</v>
      </c>
      <c r="H123" s="4" t="s">
        <v>411</v>
      </c>
      <c r="I123" s="13">
        <v>3308</v>
      </c>
      <c r="J123" s="2" t="s">
        <v>856</v>
      </c>
      <c r="K123" s="10">
        <v>45020</v>
      </c>
      <c r="L123" s="14">
        <v>1.5E-3</v>
      </c>
      <c r="M123" s="12" t="s">
        <v>831</v>
      </c>
    </row>
    <row r="124" spans="7:13">
      <c r="G124" s="16" t="s">
        <v>1362</v>
      </c>
      <c r="H124" s="4" t="s">
        <v>548</v>
      </c>
      <c r="I124" s="13">
        <v>732</v>
      </c>
      <c r="J124" s="2" t="s">
        <v>835</v>
      </c>
      <c r="K124" s="10">
        <v>45027</v>
      </c>
      <c r="L124" s="14">
        <v>2.5000000000000001E-4</v>
      </c>
      <c r="M124" s="12" t="s">
        <v>855</v>
      </c>
    </row>
    <row r="125" spans="7:13">
      <c r="G125" s="16" t="s">
        <v>1576</v>
      </c>
      <c r="H125" s="4" t="s">
        <v>400</v>
      </c>
      <c r="I125" s="13">
        <v>402</v>
      </c>
      <c r="J125" s="2" t="s">
        <v>848</v>
      </c>
      <c r="K125" s="10">
        <v>45034</v>
      </c>
      <c r="L125" s="14">
        <v>4.5000000000000005E-3</v>
      </c>
      <c r="M125" s="12" t="s">
        <v>849</v>
      </c>
    </row>
    <row r="126" spans="7:13">
      <c r="G126" s="16" t="s">
        <v>1041</v>
      </c>
      <c r="H126" s="4" t="s">
        <v>419</v>
      </c>
      <c r="I126" s="13">
        <v>40</v>
      </c>
      <c r="J126" s="2" t="s">
        <v>853</v>
      </c>
      <c r="K126" s="10">
        <v>45020</v>
      </c>
      <c r="L126" s="14">
        <v>4.1999999999999997E-3</v>
      </c>
      <c r="M126" s="12" t="s">
        <v>855</v>
      </c>
    </row>
    <row r="127" spans="7:13">
      <c r="G127" s="16" t="s">
        <v>1383</v>
      </c>
      <c r="H127" s="4" t="s">
        <v>379</v>
      </c>
      <c r="I127" s="13">
        <v>135</v>
      </c>
      <c r="J127" s="2" t="s">
        <v>832</v>
      </c>
      <c r="K127" s="10">
        <v>45020</v>
      </c>
      <c r="L127" s="14">
        <v>4.8999999999999998E-3</v>
      </c>
      <c r="M127" s="12" t="s">
        <v>828</v>
      </c>
    </row>
    <row r="128" spans="7:13">
      <c r="G128" s="16" t="s">
        <v>1413</v>
      </c>
      <c r="H128" s="4" t="s">
        <v>303</v>
      </c>
      <c r="I128" s="13">
        <v>1714</v>
      </c>
      <c r="J128" s="2" t="s">
        <v>854</v>
      </c>
      <c r="K128" s="10">
        <v>45030</v>
      </c>
      <c r="L128" s="14">
        <v>1.9E-3</v>
      </c>
      <c r="M128" s="12" t="s">
        <v>828</v>
      </c>
    </row>
    <row r="129" spans="7:13">
      <c r="G129" s="16" t="s">
        <v>1554</v>
      </c>
      <c r="H129" s="4" t="s">
        <v>719</v>
      </c>
      <c r="I129" s="13">
        <v>5960</v>
      </c>
      <c r="J129" s="2" t="s">
        <v>841</v>
      </c>
      <c r="K129" s="10">
        <v>44999</v>
      </c>
      <c r="L129" s="14">
        <v>5.0000000000000001E-4</v>
      </c>
      <c r="M129" s="12" t="s">
        <v>839</v>
      </c>
    </row>
    <row r="130" spans="7:13">
      <c r="G130" s="16" t="s">
        <v>1434</v>
      </c>
      <c r="H130" s="4" t="s">
        <v>597</v>
      </c>
      <c r="I130" s="13">
        <v>386</v>
      </c>
      <c r="J130" s="2" t="s">
        <v>854</v>
      </c>
      <c r="K130" s="10">
        <v>45037</v>
      </c>
      <c r="L130" s="14">
        <v>3.9000000000000003E-3</v>
      </c>
      <c r="M130" s="12" t="s">
        <v>831</v>
      </c>
    </row>
    <row r="131" spans="7:13">
      <c r="G131" s="16" t="s">
        <v>947</v>
      </c>
      <c r="H131" s="4" t="s">
        <v>576</v>
      </c>
      <c r="I131" s="13">
        <v>1030</v>
      </c>
      <c r="J131" s="2" t="s">
        <v>854</v>
      </c>
      <c r="K131" s="10">
        <v>45037</v>
      </c>
      <c r="L131" s="14">
        <v>1.9E-3</v>
      </c>
      <c r="M131" s="12" t="s">
        <v>831</v>
      </c>
    </row>
    <row r="132" spans="7:13">
      <c r="G132" s="16" t="s">
        <v>1353</v>
      </c>
      <c r="H132" s="4" t="s">
        <v>113</v>
      </c>
      <c r="I132" s="13">
        <v>94</v>
      </c>
      <c r="J132" s="2" t="s">
        <v>853</v>
      </c>
      <c r="K132" s="10">
        <v>45006</v>
      </c>
      <c r="L132" s="14">
        <v>2.5000000000000001E-3</v>
      </c>
      <c r="M132" s="12" t="s">
        <v>831</v>
      </c>
    </row>
    <row r="133" spans="7:13">
      <c r="G133" s="16" t="s">
        <v>1645</v>
      </c>
      <c r="H133" s="4" t="s">
        <v>28</v>
      </c>
      <c r="I133" s="13">
        <v>115</v>
      </c>
      <c r="J133" s="2" t="s">
        <v>853</v>
      </c>
      <c r="K133" s="10">
        <v>45006</v>
      </c>
      <c r="L133" s="14">
        <v>2.5000000000000001E-3</v>
      </c>
      <c r="M133" s="12" t="s">
        <v>831</v>
      </c>
    </row>
    <row r="134" spans="7:13">
      <c r="G134" s="16" t="s">
        <v>1236</v>
      </c>
      <c r="H134" s="4" t="s">
        <v>358</v>
      </c>
      <c r="I134" s="13">
        <v>96</v>
      </c>
      <c r="J134" s="2" t="s">
        <v>853</v>
      </c>
      <c r="K134" s="10">
        <v>45006</v>
      </c>
      <c r="L134" s="14">
        <v>2.5000000000000001E-3</v>
      </c>
      <c r="M134" s="12" t="s">
        <v>831</v>
      </c>
    </row>
    <row r="135" spans="7:13">
      <c r="G135" s="16" t="s">
        <v>1180</v>
      </c>
      <c r="H135" s="4" t="s">
        <v>386</v>
      </c>
      <c r="I135" s="13">
        <v>97</v>
      </c>
      <c r="J135" s="2" t="s">
        <v>853</v>
      </c>
      <c r="K135" s="10">
        <v>45006</v>
      </c>
      <c r="L135" s="14">
        <v>2.5000000000000001E-3</v>
      </c>
      <c r="M135" s="12" t="s">
        <v>831</v>
      </c>
    </row>
    <row r="136" spans="7:13">
      <c r="G136" s="16" t="s">
        <v>1638</v>
      </c>
      <c r="H136" s="4" t="s">
        <v>562</v>
      </c>
      <c r="I136" s="13">
        <v>4705</v>
      </c>
      <c r="J136" s="2" t="s">
        <v>835</v>
      </c>
      <c r="K136" s="10">
        <v>45008</v>
      </c>
      <c r="L136" s="14">
        <v>1E-3</v>
      </c>
      <c r="M136" s="12" t="s">
        <v>828</v>
      </c>
    </row>
    <row r="137" spans="7:13">
      <c r="G137" s="16" t="s">
        <v>1521</v>
      </c>
      <c r="H137" s="4" t="s">
        <v>806</v>
      </c>
      <c r="I137" s="13">
        <v>4957</v>
      </c>
      <c r="J137" s="2" t="s">
        <v>835</v>
      </c>
      <c r="K137" s="10">
        <v>45008</v>
      </c>
      <c r="L137" s="14">
        <v>1E-3</v>
      </c>
      <c r="M137" s="12" t="s">
        <v>828</v>
      </c>
    </row>
    <row r="138" spans="7:13">
      <c r="G138" s="16" t="s">
        <v>1251</v>
      </c>
      <c r="H138" s="4" t="s">
        <v>769</v>
      </c>
      <c r="I138" s="13">
        <v>202</v>
      </c>
      <c r="J138" s="2" t="s">
        <v>843</v>
      </c>
      <c r="K138" s="10">
        <v>45006</v>
      </c>
      <c r="L138" s="14">
        <v>2.1000000000000001E-4</v>
      </c>
      <c r="M138" s="12" t="s">
        <v>837</v>
      </c>
    </row>
    <row r="139" spans="7:13">
      <c r="G139" s="16" t="s">
        <v>1328</v>
      </c>
      <c r="H139" s="4" t="s">
        <v>220</v>
      </c>
      <c r="I139" s="13">
        <v>164</v>
      </c>
      <c r="J139" s="2" t="s">
        <v>832</v>
      </c>
      <c r="K139" s="10">
        <v>44999</v>
      </c>
      <c r="L139" s="14">
        <v>4.0000000000000002E-4</v>
      </c>
      <c r="M139" s="12" t="s">
        <v>855</v>
      </c>
    </row>
    <row r="140" spans="7:13">
      <c r="G140" s="16" t="s">
        <v>1003</v>
      </c>
      <c r="H140" s="4" t="s">
        <v>81</v>
      </c>
      <c r="I140" s="13">
        <v>123</v>
      </c>
      <c r="J140" s="2" t="s">
        <v>857</v>
      </c>
      <c r="K140" s="10">
        <v>44999</v>
      </c>
      <c r="L140" s="14">
        <v>5.0000000000000001E-4</v>
      </c>
      <c r="M140" s="12" t="s">
        <v>849</v>
      </c>
    </row>
    <row r="141" spans="7:13">
      <c r="G141" s="16" t="s">
        <v>1636</v>
      </c>
      <c r="H141" s="4" t="s">
        <v>674</v>
      </c>
      <c r="I141" s="13">
        <v>1711</v>
      </c>
      <c r="J141" s="2" t="s">
        <v>868</v>
      </c>
      <c r="K141" s="10">
        <v>44999</v>
      </c>
      <c r="L141" s="14">
        <v>5.0000000000000001E-4</v>
      </c>
      <c r="M141" s="12" t="s">
        <v>842</v>
      </c>
    </row>
    <row r="142" spans="7:13">
      <c r="G142" s="16" t="s">
        <v>1529</v>
      </c>
      <c r="H142" s="4" t="s">
        <v>794</v>
      </c>
      <c r="I142" s="13">
        <v>81</v>
      </c>
      <c r="J142" s="2" t="s">
        <v>838</v>
      </c>
      <c r="K142" s="10">
        <v>44978</v>
      </c>
      <c r="L142" s="14">
        <v>6.0000000000000001E-3</v>
      </c>
      <c r="M142" s="12" t="s">
        <v>864</v>
      </c>
    </row>
    <row r="143" spans="7:13">
      <c r="G143" s="16" t="s">
        <v>1101</v>
      </c>
      <c r="H143" s="4" t="s">
        <v>284</v>
      </c>
      <c r="I143" s="13">
        <v>1116</v>
      </c>
      <c r="J143" s="2" t="s">
        <v>843</v>
      </c>
      <c r="K143" s="10">
        <v>45006</v>
      </c>
      <c r="L143" s="14">
        <v>5.0000000000000001E-4</v>
      </c>
      <c r="M143" s="12" t="s">
        <v>844</v>
      </c>
    </row>
    <row r="144" spans="7:13">
      <c r="G144" s="16" t="s">
        <v>1632</v>
      </c>
      <c r="H144" s="4" t="s">
        <v>601</v>
      </c>
      <c r="I144" s="13">
        <v>565</v>
      </c>
      <c r="J144" s="2" t="s">
        <v>856</v>
      </c>
      <c r="K144" s="10">
        <v>44964</v>
      </c>
      <c r="L144" s="14">
        <v>2.5000000000000001E-3</v>
      </c>
      <c r="M144" s="12" t="s">
        <v>839</v>
      </c>
    </row>
    <row r="145" spans="7:13">
      <c r="G145" s="16" t="s">
        <v>1097</v>
      </c>
      <c r="H145" s="4" t="s">
        <v>240</v>
      </c>
      <c r="I145" s="13">
        <v>107</v>
      </c>
      <c r="J145" s="2" t="s">
        <v>857</v>
      </c>
      <c r="K145" s="10">
        <v>44971</v>
      </c>
      <c r="L145" s="14">
        <v>1E-3</v>
      </c>
      <c r="M145" s="12" t="s">
        <v>837</v>
      </c>
    </row>
    <row r="146" spans="7:13">
      <c r="G146" s="16" t="s">
        <v>985</v>
      </c>
      <c r="H146" s="4" t="s">
        <v>709</v>
      </c>
      <c r="I146" s="13">
        <v>3545</v>
      </c>
      <c r="J146" s="2" t="s">
        <v>835</v>
      </c>
      <c r="K146" s="10">
        <v>44964</v>
      </c>
      <c r="L146" s="14">
        <v>5.0000000000000001E-4</v>
      </c>
      <c r="M146" s="12" t="s">
        <v>842</v>
      </c>
    </row>
    <row r="147" spans="7:13">
      <c r="G147" s="16" t="s">
        <v>1410</v>
      </c>
      <c r="H147" s="4" t="s">
        <v>397</v>
      </c>
      <c r="I147" s="13">
        <v>2410</v>
      </c>
      <c r="J147" s="2" t="s">
        <v>835</v>
      </c>
      <c r="K147" s="10">
        <v>44958</v>
      </c>
      <c r="L147" s="14">
        <v>2.9999999999999997E-4</v>
      </c>
      <c r="M147" s="12" t="s">
        <v>828</v>
      </c>
    </row>
    <row r="148" spans="7:13">
      <c r="G148" s="16" t="s">
        <v>1502</v>
      </c>
      <c r="H148" s="4" t="s">
        <v>544</v>
      </c>
      <c r="I148" s="13">
        <v>1751</v>
      </c>
      <c r="J148" s="2" t="s">
        <v>835</v>
      </c>
      <c r="K148" s="10">
        <v>44958</v>
      </c>
      <c r="L148" s="14">
        <v>1.5E-3</v>
      </c>
      <c r="M148" s="12" t="s">
        <v>828</v>
      </c>
    </row>
    <row r="149" spans="7:13">
      <c r="G149" s="16" t="s">
        <v>1100</v>
      </c>
      <c r="H149" s="4" t="s">
        <v>92</v>
      </c>
      <c r="I149" s="13">
        <v>74</v>
      </c>
      <c r="J149" s="2" t="s">
        <v>832</v>
      </c>
      <c r="K149" s="10">
        <v>44957</v>
      </c>
      <c r="L149" s="14">
        <v>9.9000000000000008E-3</v>
      </c>
      <c r="M149" s="12" t="s">
        <v>833</v>
      </c>
    </row>
    <row r="150" spans="7:13">
      <c r="G150" s="16" t="s">
        <v>1009</v>
      </c>
      <c r="H150" s="4" t="s">
        <v>59</v>
      </c>
      <c r="I150" s="13">
        <v>1262</v>
      </c>
      <c r="J150" s="2" t="s">
        <v>840</v>
      </c>
      <c r="K150" s="10">
        <v>44957</v>
      </c>
      <c r="L150" s="14">
        <v>1.8E-3</v>
      </c>
      <c r="M150" s="12" t="s">
        <v>871</v>
      </c>
    </row>
    <row r="151" spans="7:13">
      <c r="G151" s="16" t="s">
        <v>1454</v>
      </c>
      <c r="H151" s="4" t="s">
        <v>175</v>
      </c>
      <c r="I151" s="13">
        <v>2301</v>
      </c>
      <c r="J151" s="2" t="s">
        <v>835</v>
      </c>
      <c r="K151" s="10">
        <v>44936</v>
      </c>
      <c r="L151" s="14">
        <v>4.4999999999999999E-4</v>
      </c>
      <c r="M151" s="12" t="s">
        <v>842</v>
      </c>
    </row>
    <row r="152" spans="7:13">
      <c r="G152" s="16" t="s">
        <v>1088</v>
      </c>
      <c r="H152" s="4" t="s">
        <v>402</v>
      </c>
      <c r="I152" s="13">
        <v>256</v>
      </c>
      <c r="J152" s="2" t="s">
        <v>840</v>
      </c>
      <c r="K152" s="10">
        <v>44957</v>
      </c>
      <c r="L152" s="14">
        <v>1.5E-3</v>
      </c>
      <c r="M152" s="12" t="s">
        <v>844</v>
      </c>
    </row>
    <row r="153" spans="7:13">
      <c r="G153" s="16" t="s">
        <v>1524</v>
      </c>
      <c r="H153" s="4" t="s">
        <v>539</v>
      </c>
      <c r="I153" s="13">
        <v>71</v>
      </c>
      <c r="J153" s="2" t="s">
        <v>854</v>
      </c>
      <c r="K153" s="10">
        <v>44917</v>
      </c>
      <c r="L153" s="14">
        <v>2.5000000000000001E-3</v>
      </c>
      <c r="M153" s="12" t="s">
        <v>831</v>
      </c>
    </row>
    <row r="154" spans="7:13">
      <c r="G154" s="16" t="s">
        <v>1500</v>
      </c>
      <c r="H154" s="4" t="s">
        <v>335</v>
      </c>
      <c r="I154" s="13">
        <v>60</v>
      </c>
      <c r="J154" s="2" t="s">
        <v>847</v>
      </c>
      <c r="K154" s="10">
        <v>44917</v>
      </c>
      <c r="L154" s="14">
        <v>2.5000000000000001E-3</v>
      </c>
      <c r="M154" s="12" t="s">
        <v>831</v>
      </c>
    </row>
    <row r="155" spans="7:13">
      <c r="G155" s="16" t="s">
        <v>1596</v>
      </c>
      <c r="H155" s="4" t="s">
        <v>584</v>
      </c>
      <c r="I155" s="13">
        <v>52</v>
      </c>
      <c r="J155" s="2" t="s">
        <v>838</v>
      </c>
      <c r="K155" s="10">
        <v>44918</v>
      </c>
      <c r="L155" s="14">
        <v>1.4000000000000002E-3</v>
      </c>
      <c r="M155" s="12" t="s">
        <v>855</v>
      </c>
    </row>
    <row r="156" spans="7:13">
      <c r="G156" s="16" t="s">
        <v>1670</v>
      </c>
      <c r="H156" s="4" t="s">
        <v>573</v>
      </c>
      <c r="I156" s="13">
        <v>97</v>
      </c>
      <c r="J156" s="2" t="s">
        <v>832</v>
      </c>
      <c r="K156" s="10">
        <v>44915</v>
      </c>
      <c r="L156" s="14">
        <v>4.0000000000000002E-4</v>
      </c>
      <c r="M156" s="12" t="s">
        <v>855</v>
      </c>
    </row>
    <row r="157" spans="7:13">
      <c r="G157" s="16" t="s">
        <v>1401</v>
      </c>
      <c r="H157" s="4" t="s">
        <v>572</v>
      </c>
      <c r="I157" s="13">
        <v>135</v>
      </c>
      <c r="J157" s="2" t="s">
        <v>832</v>
      </c>
      <c r="K157" s="10">
        <v>44915</v>
      </c>
      <c r="L157" s="14">
        <v>2.1000000000000001E-4</v>
      </c>
      <c r="M157" s="12" t="s">
        <v>855</v>
      </c>
    </row>
    <row r="158" spans="7:13">
      <c r="G158" s="16" t="s">
        <v>1286</v>
      </c>
      <c r="H158" s="4" t="s">
        <v>239</v>
      </c>
      <c r="I158" s="13">
        <v>99</v>
      </c>
      <c r="J158" s="2" t="s">
        <v>854</v>
      </c>
      <c r="K158" s="10">
        <v>44917</v>
      </c>
      <c r="L158" s="14">
        <v>3.4999999999999996E-3</v>
      </c>
      <c r="M158" s="12" t="s">
        <v>828</v>
      </c>
    </row>
    <row r="159" spans="7:13">
      <c r="G159" s="16" t="s">
        <v>1398</v>
      </c>
      <c r="H159" s="4" t="s">
        <v>431</v>
      </c>
      <c r="I159" s="13">
        <v>80</v>
      </c>
      <c r="J159" s="2" t="s">
        <v>847</v>
      </c>
      <c r="K159" s="10">
        <v>44917</v>
      </c>
      <c r="L159" s="14">
        <v>3.4999999999999996E-3</v>
      </c>
      <c r="M159" s="12" t="s">
        <v>828</v>
      </c>
    </row>
    <row r="160" spans="7:13">
      <c r="G160" s="16" t="s">
        <v>1173</v>
      </c>
      <c r="H160" s="4" t="s">
        <v>745</v>
      </c>
      <c r="I160" s="13">
        <v>99</v>
      </c>
      <c r="J160" s="2" t="s">
        <v>847</v>
      </c>
      <c r="K160" s="10">
        <v>44915</v>
      </c>
      <c r="L160" s="14">
        <v>2.3999999999999998E-3</v>
      </c>
      <c r="M160" s="12" t="s">
        <v>837</v>
      </c>
    </row>
    <row r="161" spans="7:13">
      <c r="G161" s="16" t="s">
        <v>1199</v>
      </c>
      <c r="H161" s="4" t="s">
        <v>143</v>
      </c>
      <c r="I161" s="13">
        <v>112</v>
      </c>
      <c r="J161" s="2" t="s">
        <v>835</v>
      </c>
      <c r="K161" s="10">
        <v>44911</v>
      </c>
      <c r="L161" s="14">
        <v>5.0000000000000001E-4</v>
      </c>
      <c r="M161" s="12" t="s">
        <v>844</v>
      </c>
    </row>
    <row r="162" spans="7:13">
      <c r="G162" s="16" t="s">
        <v>1210</v>
      </c>
      <c r="H162" s="4" t="s">
        <v>487</v>
      </c>
      <c r="I162" s="13">
        <v>573</v>
      </c>
      <c r="J162" s="2" t="s">
        <v>845</v>
      </c>
      <c r="K162" s="10">
        <v>44931</v>
      </c>
      <c r="L162" s="14">
        <v>4.5000000000000005E-3</v>
      </c>
      <c r="M162" s="12" t="s">
        <v>842</v>
      </c>
    </row>
    <row r="163" spans="7:13">
      <c r="G163" s="16" t="s">
        <v>1229</v>
      </c>
      <c r="H163" s="4" t="s">
        <v>660</v>
      </c>
      <c r="I163" s="13">
        <v>1282</v>
      </c>
      <c r="J163" s="2" t="s">
        <v>832</v>
      </c>
      <c r="K163" s="10">
        <v>44897</v>
      </c>
      <c r="L163" s="14">
        <v>5.0000000000000001E-4</v>
      </c>
      <c r="M163" s="12" t="s">
        <v>831</v>
      </c>
    </row>
    <row r="164" spans="7:13">
      <c r="G164" s="16" t="s">
        <v>1218</v>
      </c>
      <c r="H164" s="4" t="s">
        <v>361</v>
      </c>
      <c r="I164" s="13">
        <v>1851</v>
      </c>
      <c r="J164" s="2" t="s">
        <v>832</v>
      </c>
      <c r="K164" s="10">
        <v>44897</v>
      </c>
      <c r="L164" s="14">
        <v>5.0000000000000001E-4</v>
      </c>
      <c r="M164" s="12" t="s">
        <v>831</v>
      </c>
    </row>
    <row r="165" spans="7:13">
      <c r="G165" s="16" t="s">
        <v>1024</v>
      </c>
      <c r="H165" s="4" t="s">
        <v>771</v>
      </c>
      <c r="I165" s="13">
        <v>5402</v>
      </c>
      <c r="J165" s="2" t="s">
        <v>857</v>
      </c>
      <c r="K165" s="10">
        <v>44895</v>
      </c>
      <c r="L165" s="14">
        <v>2.9999999999999997E-4</v>
      </c>
      <c r="M165" s="12" t="s">
        <v>828</v>
      </c>
    </row>
    <row r="166" spans="7:13">
      <c r="G166" s="16" t="s">
        <v>1538</v>
      </c>
      <c r="H166" s="4" t="s">
        <v>15</v>
      </c>
      <c r="I166" s="13">
        <v>1382</v>
      </c>
      <c r="J166" s="2" t="s">
        <v>857</v>
      </c>
      <c r="K166" s="10">
        <v>44887</v>
      </c>
      <c r="L166" s="14">
        <v>5.0000000000000001E-4</v>
      </c>
      <c r="M166" s="12" t="s">
        <v>839</v>
      </c>
    </row>
    <row r="167" spans="7:13">
      <c r="G167" s="16" t="s">
        <v>1426</v>
      </c>
      <c r="H167" s="4" t="s">
        <v>188</v>
      </c>
      <c r="I167" s="13">
        <v>1117</v>
      </c>
      <c r="J167" s="2" t="s">
        <v>857</v>
      </c>
      <c r="K167" s="10">
        <v>44887</v>
      </c>
      <c r="L167" s="14">
        <v>5.0000000000000001E-4</v>
      </c>
      <c r="M167" s="12" t="s">
        <v>839</v>
      </c>
    </row>
    <row r="168" spans="7:13">
      <c r="G168" s="16" t="s">
        <v>1584</v>
      </c>
      <c r="H168" s="4" t="s">
        <v>371</v>
      </c>
      <c r="I168" s="13">
        <v>149</v>
      </c>
      <c r="J168" s="2" t="s">
        <v>830</v>
      </c>
      <c r="K168" s="10">
        <v>44894</v>
      </c>
      <c r="L168" s="14">
        <v>2E-3</v>
      </c>
      <c r="M168" s="12" t="s">
        <v>837</v>
      </c>
    </row>
    <row r="169" spans="7:13">
      <c r="G169" s="16" t="s">
        <v>1256</v>
      </c>
      <c r="H169" s="4" t="s">
        <v>483</v>
      </c>
      <c r="I169" s="13">
        <v>1413</v>
      </c>
      <c r="J169" s="2" t="s">
        <v>835</v>
      </c>
      <c r="K169" s="10">
        <v>44887</v>
      </c>
      <c r="L169" s="14">
        <v>7.000000000000001E-4</v>
      </c>
      <c r="M169" s="12" t="s">
        <v>837</v>
      </c>
    </row>
    <row r="170" spans="7:13">
      <c r="G170" s="16" t="s">
        <v>1184</v>
      </c>
      <c r="H170" s="4" t="s">
        <v>582</v>
      </c>
      <c r="I170" s="13">
        <v>115</v>
      </c>
      <c r="J170" s="2" t="s">
        <v>840</v>
      </c>
      <c r="K170" s="10">
        <v>44880</v>
      </c>
      <c r="L170" s="14">
        <v>4.5500000000000002E-3</v>
      </c>
      <c r="M170" s="12" t="s">
        <v>859</v>
      </c>
    </row>
    <row r="171" spans="7:13">
      <c r="G171" s="16" t="s">
        <v>1144</v>
      </c>
      <c r="H171" s="4" t="s">
        <v>157</v>
      </c>
      <c r="I171" s="13">
        <v>370</v>
      </c>
      <c r="J171" s="2" t="s">
        <v>847</v>
      </c>
      <c r="K171" s="10">
        <v>44894</v>
      </c>
      <c r="L171" s="14">
        <v>7.000000000000001E-4</v>
      </c>
      <c r="M171" s="12" t="s">
        <v>839</v>
      </c>
    </row>
    <row r="172" spans="7:13">
      <c r="G172" s="16" t="s">
        <v>1177</v>
      </c>
      <c r="H172" s="4" t="s">
        <v>276</v>
      </c>
      <c r="I172" s="13">
        <v>39</v>
      </c>
      <c r="J172" s="2" t="s">
        <v>843</v>
      </c>
      <c r="K172" s="10">
        <v>44895</v>
      </c>
      <c r="L172" s="14">
        <v>5.0000000000000001E-3</v>
      </c>
      <c r="M172" s="12" t="s">
        <v>849</v>
      </c>
    </row>
    <row r="173" spans="7:13">
      <c r="G173" s="16" t="s">
        <v>1135</v>
      </c>
      <c r="H173" s="4" t="s">
        <v>193</v>
      </c>
      <c r="I173" s="13">
        <v>543</v>
      </c>
      <c r="J173" s="2" t="s">
        <v>835</v>
      </c>
      <c r="K173" s="10">
        <v>44887</v>
      </c>
      <c r="L173" s="14">
        <v>5.0000000000000001E-4</v>
      </c>
      <c r="M173" s="12" t="s">
        <v>849</v>
      </c>
    </row>
    <row r="174" spans="7:13">
      <c r="G174" s="16" t="s">
        <v>1033</v>
      </c>
      <c r="H174" s="4" t="s">
        <v>617</v>
      </c>
      <c r="I174" s="13">
        <v>362</v>
      </c>
      <c r="J174" s="2" t="s">
        <v>840</v>
      </c>
      <c r="K174" s="10">
        <v>44894</v>
      </c>
      <c r="L174" s="14">
        <v>7.000000000000001E-4</v>
      </c>
      <c r="M174" s="12" t="s">
        <v>831</v>
      </c>
    </row>
    <row r="175" spans="7:13">
      <c r="G175" s="16" t="s">
        <v>885</v>
      </c>
      <c r="H175" s="4" t="s">
        <v>105</v>
      </c>
      <c r="I175" s="13">
        <v>1008</v>
      </c>
      <c r="J175" s="2" t="s">
        <v>832</v>
      </c>
      <c r="K175" s="10">
        <v>44890</v>
      </c>
      <c r="L175" s="14">
        <v>7.000000000000001E-4</v>
      </c>
      <c r="M175" s="12" t="s">
        <v>828</v>
      </c>
    </row>
    <row r="176" spans="7:13">
      <c r="G176" s="16" t="s">
        <v>1089</v>
      </c>
      <c r="H176" s="4" t="s">
        <v>417</v>
      </c>
      <c r="I176" s="13">
        <v>1609</v>
      </c>
      <c r="J176" s="2" t="s">
        <v>832</v>
      </c>
      <c r="K176" s="10">
        <v>44890</v>
      </c>
      <c r="L176" s="14">
        <v>7.000000000000001E-4</v>
      </c>
      <c r="M176" s="12" t="s">
        <v>828</v>
      </c>
    </row>
    <row r="177" spans="7:13">
      <c r="G177" s="16" t="s">
        <v>1389</v>
      </c>
      <c r="H177" s="4" t="s">
        <v>746</v>
      </c>
      <c r="I177" s="13">
        <v>69</v>
      </c>
      <c r="J177" s="2" t="s">
        <v>840</v>
      </c>
      <c r="K177" s="10">
        <v>44911</v>
      </c>
      <c r="L177" s="14">
        <v>5.0000000000000001E-4</v>
      </c>
      <c r="M177" s="12" t="s">
        <v>834</v>
      </c>
    </row>
    <row r="178" spans="7:13">
      <c r="G178" s="16" t="s">
        <v>1332</v>
      </c>
      <c r="H178" s="4" t="s">
        <v>23</v>
      </c>
      <c r="I178" s="13">
        <v>6644</v>
      </c>
      <c r="J178" s="2" t="s">
        <v>835</v>
      </c>
      <c r="K178" s="10">
        <v>44887</v>
      </c>
      <c r="L178" s="14">
        <v>1E-3</v>
      </c>
      <c r="M178" s="12" t="s">
        <v>828</v>
      </c>
    </row>
    <row r="179" spans="7:13">
      <c r="G179" s="16" t="s">
        <v>1148</v>
      </c>
      <c r="H179" s="4" t="s">
        <v>230</v>
      </c>
      <c r="I179" s="13">
        <v>864</v>
      </c>
      <c r="J179" s="2" t="s">
        <v>847</v>
      </c>
      <c r="K179" s="10">
        <v>44894</v>
      </c>
      <c r="L179" s="14">
        <v>2.5000000000000001E-3</v>
      </c>
      <c r="M179" s="12" t="s">
        <v>828</v>
      </c>
    </row>
    <row r="180" spans="7:13">
      <c r="G180" s="16" t="s">
        <v>977</v>
      </c>
      <c r="H180" s="4" t="s">
        <v>34</v>
      </c>
      <c r="I180" s="13">
        <v>124</v>
      </c>
      <c r="J180" s="2" t="s">
        <v>847</v>
      </c>
      <c r="K180" s="10">
        <v>44894</v>
      </c>
      <c r="L180" s="14">
        <v>2.5000000000000001E-3</v>
      </c>
      <c r="M180" s="12" t="s">
        <v>842</v>
      </c>
    </row>
    <row r="181" spans="7:13">
      <c r="G181" s="16" t="s">
        <v>1550</v>
      </c>
      <c r="H181" s="4" t="s">
        <v>80</v>
      </c>
      <c r="I181" s="13">
        <v>301</v>
      </c>
      <c r="J181" s="2" t="s">
        <v>847</v>
      </c>
      <c r="K181" s="10">
        <v>44894</v>
      </c>
      <c r="L181" s="14">
        <v>2.5000000000000001E-3</v>
      </c>
      <c r="M181" s="12" t="s">
        <v>844</v>
      </c>
    </row>
    <row r="182" spans="7:13">
      <c r="G182" s="16" t="s">
        <v>1138</v>
      </c>
      <c r="H182" s="4" t="s">
        <v>455</v>
      </c>
      <c r="I182" s="13">
        <v>122</v>
      </c>
      <c r="J182" s="2" t="s">
        <v>845</v>
      </c>
      <c r="K182" s="10">
        <v>44880</v>
      </c>
      <c r="L182" s="14">
        <v>6.9999999999999993E-3</v>
      </c>
      <c r="M182" s="12" t="s">
        <v>839</v>
      </c>
    </row>
    <row r="183" spans="7:13">
      <c r="G183" s="16" t="s">
        <v>1239</v>
      </c>
      <c r="H183" s="4" t="s">
        <v>690</v>
      </c>
      <c r="I183" s="13">
        <v>1178</v>
      </c>
      <c r="J183" s="2" t="s">
        <v>853</v>
      </c>
      <c r="K183" s="10">
        <v>44880</v>
      </c>
      <c r="L183" s="14">
        <v>4.5000000000000005E-3</v>
      </c>
      <c r="M183" s="12" t="s">
        <v>839</v>
      </c>
    </row>
    <row r="184" spans="7:13">
      <c r="G184" s="16" t="s">
        <v>1093</v>
      </c>
      <c r="H184" s="4" t="s">
        <v>396</v>
      </c>
      <c r="I184" s="13">
        <v>3653</v>
      </c>
      <c r="J184" s="2" t="s">
        <v>843</v>
      </c>
      <c r="K184" s="10">
        <v>44880</v>
      </c>
      <c r="L184" s="14">
        <v>1E-4</v>
      </c>
      <c r="M184" s="12" t="s">
        <v>844</v>
      </c>
    </row>
    <row r="185" spans="7:13">
      <c r="G185" s="16" t="s">
        <v>1021</v>
      </c>
      <c r="H185" s="4" t="s">
        <v>796</v>
      </c>
      <c r="I185" s="13">
        <v>213</v>
      </c>
      <c r="J185" s="2" t="s">
        <v>845</v>
      </c>
      <c r="K185" s="10">
        <v>44866</v>
      </c>
      <c r="L185" s="14">
        <v>4.0000000000000001E-3</v>
      </c>
      <c r="M185" s="12" t="s">
        <v>837</v>
      </c>
    </row>
    <row r="186" spans="7:13">
      <c r="G186" s="16" t="s">
        <v>1598</v>
      </c>
      <c r="H186" s="4" t="s">
        <v>364</v>
      </c>
      <c r="I186" s="13">
        <v>99</v>
      </c>
      <c r="J186" s="2" t="s">
        <v>853</v>
      </c>
      <c r="K186" s="10">
        <v>44958</v>
      </c>
      <c r="L186" s="14">
        <v>5.0000000000000001E-3</v>
      </c>
      <c r="M186" s="12" t="s">
        <v>831</v>
      </c>
    </row>
    <row r="187" spans="7:13">
      <c r="G187" s="16" t="s">
        <v>1572</v>
      </c>
      <c r="H187" s="4" t="s">
        <v>103</v>
      </c>
      <c r="I187" s="13">
        <v>74</v>
      </c>
      <c r="J187" s="2" t="s">
        <v>832</v>
      </c>
      <c r="K187" s="10">
        <v>44859</v>
      </c>
      <c r="L187" s="2">
        <v>3.4999999999999996E-3</v>
      </c>
      <c r="M187" s="12" t="s">
        <v>855</v>
      </c>
    </row>
    <row r="188" spans="7:13">
      <c r="G188" s="16" t="s">
        <v>954</v>
      </c>
      <c r="H188" s="4" t="s">
        <v>661</v>
      </c>
      <c r="I188" s="13">
        <v>43</v>
      </c>
      <c r="J188" s="2" t="s">
        <v>832</v>
      </c>
      <c r="K188" s="10">
        <v>44859</v>
      </c>
      <c r="L188" s="14">
        <v>3.4999999999999996E-3</v>
      </c>
      <c r="M188" s="12" t="s">
        <v>855</v>
      </c>
    </row>
    <row r="189" spans="7:13">
      <c r="G189" s="16" t="s">
        <v>1157</v>
      </c>
      <c r="H189" s="4" t="s">
        <v>467</v>
      </c>
      <c r="I189" s="13">
        <v>155</v>
      </c>
      <c r="J189" s="2" t="s">
        <v>838</v>
      </c>
      <c r="K189" s="10">
        <v>44852</v>
      </c>
      <c r="L189" s="14">
        <v>2E-3</v>
      </c>
      <c r="M189" s="12" t="s">
        <v>828</v>
      </c>
    </row>
    <row r="190" spans="7:13">
      <c r="G190" s="16" t="s">
        <v>1133</v>
      </c>
      <c r="H190" s="4" t="s">
        <v>530</v>
      </c>
      <c r="I190" s="13">
        <v>136</v>
      </c>
      <c r="J190" s="2" t="s">
        <v>838</v>
      </c>
      <c r="K190" s="10">
        <v>44861</v>
      </c>
      <c r="L190" s="14">
        <v>4.9500000000000004E-3</v>
      </c>
      <c r="M190" s="12" t="s">
        <v>865</v>
      </c>
    </row>
    <row r="191" spans="7:13">
      <c r="G191" s="16" t="s">
        <v>1597</v>
      </c>
      <c r="H191" s="4" t="s">
        <v>354</v>
      </c>
      <c r="I191" s="13">
        <v>1039</v>
      </c>
      <c r="J191" s="2" t="s">
        <v>845</v>
      </c>
      <c r="K191" s="10">
        <v>44880</v>
      </c>
      <c r="L191" s="14">
        <v>5.0000000000000001E-3</v>
      </c>
      <c r="M191" s="12" t="s">
        <v>831</v>
      </c>
    </row>
    <row r="192" spans="7:13">
      <c r="G192" s="16" t="s">
        <v>1200</v>
      </c>
      <c r="H192" s="4" t="s">
        <v>353</v>
      </c>
      <c r="I192" s="13">
        <v>352</v>
      </c>
      <c r="J192" s="2" t="s">
        <v>845</v>
      </c>
      <c r="K192" s="10">
        <v>44880</v>
      </c>
      <c r="L192" s="14">
        <v>5.0000000000000001E-3</v>
      </c>
      <c r="M192" s="12" t="s">
        <v>831</v>
      </c>
    </row>
    <row r="193" spans="7:13">
      <c r="G193" s="16" t="s">
        <v>1065</v>
      </c>
      <c r="H193" s="4" t="s">
        <v>689</v>
      </c>
      <c r="I193" s="13">
        <v>63</v>
      </c>
      <c r="J193" s="2" t="s">
        <v>832</v>
      </c>
      <c r="K193" s="10">
        <v>44840</v>
      </c>
      <c r="L193" s="14">
        <v>5.0000000000000001E-4</v>
      </c>
      <c r="M193" s="12" t="s">
        <v>834</v>
      </c>
    </row>
    <row r="194" spans="7:13">
      <c r="G194" s="16" t="s">
        <v>1587</v>
      </c>
      <c r="H194" s="4" t="s">
        <v>78</v>
      </c>
      <c r="I194" s="13">
        <v>80</v>
      </c>
      <c r="J194" s="2" t="s">
        <v>845</v>
      </c>
      <c r="K194" s="10">
        <v>44852</v>
      </c>
      <c r="L194" s="14">
        <v>5.5000000000000005E-3</v>
      </c>
      <c r="M194" s="12" t="s">
        <v>844</v>
      </c>
    </row>
    <row r="195" spans="7:13">
      <c r="G195" s="16" t="s">
        <v>1025</v>
      </c>
      <c r="H195" s="4" t="s">
        <v>68</v>
      </c>
      <c r="I195" s="13">
        <v>53</v>
      </c>
      <c r="J195" s="2" t="s">
        <v>853</v>
      </c>
      <c r="K195" s="10">
        <v>44826</v>
      </c>
      <c r="L195" s="14">
        <v>5.0000000000000001E-3</v>
      </c>
      <c r="M195" s="12" t="s">
        <v>842</v>
      </c>
    </row>
    <row r="196" spans="7:13">
      <c r="G196" s="16" t="s">
        <v>1054</v>
      </c>
      <c r="H196" s="4" t="s">
        <v>167</v>
      </c>
      <c r="I196" s="13">
        <v>54</v>
      </c>
      <c r="J196" s="2" t="s">
        <v>847</v>
      </c>
      <c r="K196" s="10">
        <v>44826</v>
      </c>
      <c r="L196" s="14">
        <v>1.8E-3</v>
      </c>
      <c r="M196" s="12" t="s">
        <v>837</v>
      </c>
    </row>
    <row r="197" spans="7:13">
      <c r="G197" s="16" t="s">
        <v>1612</v>
      </c>
      <c r="H197" s="4" t="s">
        <v>285</v>
      </c>
      <c r="I197" s="13">
        <v>54</v>
      </c>
      <c r="J197" s="2" t="s">
        <v>847</v>
      </c>
      <c r="K197" s="10">
        <v>44826</v>
      </c>
      <c r="L197" s="14">
        <v>1.8E-3</v>
      </c>
      <c r="M197" s="12" t="s">
        <v>837</v>
      </c>
    </row>
    <row r="198" spans="7:13">
      <c r="G198" s="16" t="s">
        <v>1165</v>
      </c>
      <c r="H198" s="4" t="s">
        <v>459</v>
      </c>
      <c r="I198" s="13">
        <v>54</v>
      </c>
      <c r="J198" s="2" t="s">
        <v>847</v>
      </c>
      <c r="K198" s="10">
        <v>44826</v>
      </c>
      <c r="L198" s="14">
        <v>1.8E-3</v>
      </c>
      <c r="M198" s="12" t="s">
        <v>837</v>
      </c>
    </row>
    <row r="199" spans="7:13">
      <c r="G199" s="16" t="s">
        <v>1483</v>
      </c>
      <c r="H199" s="4" t="s">
        <v>556</v>
      </c>
      <c r="I199" s="13">
        <v>46</v>
      </c>
      <c r="J199" s="2" t="s">
        <v>832</v>
      </c>
      <c r="K199" s="10">
        <v>44847</v>
      </c>
      <c r="L199" s="14">
        <v>4.0000000000000001E-3</v>
      </c>
      <c r="M199" s="12" t="s">
        <v>837</v>
      </c>
    </row>
    <row r="200" spans="7:13">
      <c r="G200" s="16" t="s">
        <v>1028</v>
      </c>
      <c r="H200" s="4" t="s">
        <v>173</v>
      </c>
      <c r="I200" s="13">
        <v>218</v>
      </c>
      <c r="J200" s="2" t="s">
        <v>840</v>
      </c>
      <c r="K200" s="10">
        <v>44859</v>
      </c>
      <c r="L200" s="14">
        <v>3.0000000000000001E-3</v>
      </c>
      <c r="M200" s="12" t="s">
        <v>869</v>
      </c>
    </row>
    <row r="201" spans="7:13">
      <c r="G201" s="16" t="s">
        <v>1392</v>
      </c>
      <c r="H201" s="4" t="s">
        <v>501</v>
      </c>
      <c r="I201" s="13">
        <v>92</v>
      </c>
      <c r="J201" s="2" t="s">
        <v>838</v>
      </c>
      <c r="K201" s="10">
        <v>44824</v>
      </c>
      <c r="L201" s="14">
        <v>9.75E-3</v>
      </c>
      <c r="M201" s="12" t="s">
        <v>833</v>
      </c>
    </row>
    <row r="202" spans="7:13">
      <c r="G202" s="16" t="s">
        <v>962</v>
      </c>
      <c r="H202" s="4" t="s">
        <v>250</v>
      </c>
      <c r="I202" s="13">
        <v>146</v>
      </c>
      <c r="J202" s="2" t="s">
        <v>840</v>
      </c>
      <c r="K202" s="10">
        <v>44831</v>
      </c>
      <c r="L202" s="14">
        <v>8.0000000000000002E-3</v>
      </c>
      <c r="M202" s="12" t="s">
        <v>866</v>
      </c>
    </row>
    <row r="203" spans="7:13">
      <c r="G203" s="16" t="s">
        <v>1535</v>
      </c>
      <c r="H203" s="4" t="s">
        <v>741</v>
      </c>
      <c r="I203" s="13">
        <v>2254</v>
      </c>
      <c r="J203" s="2" t="s">
        <v>850</v>
      </c>
      <c r="K203" s="10">
        <v>44826</v>
      </c>
      <c r="L203" s="14">
        <v>3.7000000000000002E-3</v>
      </c>
      <c r="M203" s="12" t="s">
        <v>828</v>
      </c>
    </row>
    <row r="204" spans="7:13">
      <c r="G204" s="16" t="s">
        <v>971</v>
      </c>
      <c r="H204" s="4" t="s">
        <v>196</v>
      </c>
      <c r="I204" s="13">
        <v>392</v>
      </c>
      <c r="J204" s="2" t="s">
        <v>832</v>
      </c>
      <c r="K204" s="10">
        <v>44831</v>
      </c>
      <c r="L204" s="14">
        <v>1.9E-3</v>
      </c>
      <c r="M204" s="12" t="s">
        <v>831</v>
      </c>
    </row>
    <row r="205" spans="7:13">
      <c r="G205" s="16" t="s">
        <v>1637</v>
      </c>
      <c r="H205" s="4" t="s">
        <v>77</v>
      </c>
      <c r="I205" s="13">
        <v>876</v>
      </c>
      <c r="J205" s="2" t="s">
        <v>845</v>
      </c>
      <c r="K205" s="10">
        <v>44819</v>
      </c>
      <c r="L205" s="14">
        <v>4.5000000000000005E-3</v>
      </c>
      <c r="M205" s="12" t="s">
        <v>849</v>
      </c>
    </row>
    <row r="206" spans="7:13">
      <c r="G206" s="16" t="s">
        <v>1422</v>
      </c>
      <c r="H206" s="4" t="s">
        <v>684</v>
      </c>
      <c r="I206" s="13">
        <v>90</v>
      </c>
      <c r="J206" s="2" t="s">
        <v>832</v>
      </c>
      <c r="K206" s="10">
        <v>44824</v>
      </c>
      <c r="L206" s="14">
        <v>2E-3</v>
      </c>
      <c r="M206" s="12" t="s">
        <v>855</v>
      </c>
    </row>
    <row r="207" spans="7:13">
      <c r="G207" s="16" t="s">
        <v>1531</v>
      </c>
      <c r="H207" s="4" t="s">
        <v>401</v>
      </c>
      <c r="I207" s="13">
        <v>59</v>
      </c>
      <c r="J207" s="2" t="s">
        <v>853</v>
      </c>
      <c r="K207" s="10">
        <v>44799</v>
      </c>
      <c r="L207" s="14">
        <v>3.4999999999999996E-3</v>
      </c>
      <c r="M207" s="12" t="s">
        <v>834</v>
      </c>
    </row>
    <row r="208" spans="7:13">
      <c r="G208" s="16" t="s">
        <v>1265</v>
      </c>
      <c r="H208" s="4" t="s">
        <v>349</v>
      </c>
      <c r="I208" s="13">
        <v>91</v>
      </c>
      <c r="J208" s="2" t="s">
        <v>841</v>
      </c>
      <c r="K208" s="10">
        <v>44796</v>
      </c>
      <c r="L208" s="14">
        <v>3.0000000000000001E-3</v>
      </c>
      <c r="M208" s="12" t="s">
        <v>839</v>
      </c>
    </row>
    <row r="209" spans="7:13">
      <c r="G209" s="16" t="s">
        <v>1677</v>
      </c>
      <c r="H209" s="4" t="s">
        <v>395</v>
      </c>
      <c r="I209" s="13">
        <v>525</v>
      </c>
      <c r="J209" s="2" t="s">
        <v>835</v>
      </c>
      <c r="K209" s="10">
        <v>44796</v>
      </c>
      <c r="L209" s="14">
        <v>1.5E-3</v>
      </c>
      <c r="M209" s="12" t="s">
        <v>839</v>
      </c>
    </row>
    <row r="210" spans="7:13">
      <c r="G210" s="16" t="s">
        <v>1225</v>
      </c>
      <c r="H210" s="4" t="s">
        <v>22</v>
      </c>
      <c r="I210" s="13">
        <v>270</v>
      </c>
      <c r="J210" s="2" t="s">
        <v>847</v>
      </c>
      <c r="K210" s="10">
        <v>44803</v>
      </c>
      <c r="L210" s="14">
        <v>5.5000000000000005E-3</v>
      </c>
      <c r="M210" s="12" t="s">
        <v>828</v>
      </c>
    </row>
    <row r="211" spans="7:13">
      <c r="G211" s="16" t="s">
        <v>1333</v>
      </c>
      <c r="H211" s="4" t="s">
        <v>511</v>
      </c>
      <c r="I211" s="13">
        <v>2889</v>
      </c>
      <c r="J211" s="2" t="s">
        <v>835</v>
      </c>
      <c r="K211" s="10">
        <v>44796</v>
      </c>
      <c r="L211" s="14">
        <v>5.0000000000000001E-4</v>
      </c>
      <c r="M211" s="12" t="s">
        <v>831</v>
      </c>
    </row>
    <row r="212" spans="7:13">
      <c r="G212" s="16" t="s">
        <v>1228</v>
      </c>
      <c r="H212" s="4" t="s">
        <v>26</v>
      </c>
      <c r="I212" s="13">
        <v>3664</v>
      </c>
      <c r="J212" s="2" t="s">
        <v>835</v>
      </c>
      <c r="K212" s="10">
        <v>44796</v>
      </c>
      <c r="L212" s="14">
        <v>7.000000000000001E-4</v>
      </c>
      <c r="M212" s="12" t="s">
        <v>831</v>
      </c>
    </row>
    <row r="213" spans="7:13">
      <c r="G213" s="16" t="s">
        <v>1510</v>
      </c>
      <c r="H213" s="4" t="s">
        <v>547</v>
      </c>
      <c r="I213" s="13">
        <v>65</v>
      </c>
      <c r="J213" s="2" t="s">
        <v>845</v>
      </c>
      <c r="K213" s="10">
        <v>44790</v>
      </c>
      <c r="L213" s="14">
        <v>4.5000000000000005E-3</v>
      </c>
      <c r="M213" s="12" t="s">
        <v>849</v>
      </c>
    </row>
    <row r="214" spans="7:13">
      <c r="G214" s="16" t="s">
        <v>1423</v>
      </c>
      <c r="H214" s="4" t="s">
        <v>762</v>
      </c>
      <c r="I214" s="13">
        <v>79</v>
      </c>
      <c r="J214" s="2" t="s">
        <v>838</v>
      </c>
      <c r="K214" s="10">
        <v>44790</v>
      </c>
      <c r="L214" s="14">
        <v>6.1999999999999998E-3</v>
      </c>
      <c r="M214" s="12" t="s">
        <v>873</v>
      </c>
    </row>
    <row r="215" spans="7:13">
      <c r="G215" s="16" t="s">
        <v>1441</v>
      </c>
      <c r="H215" s="4" t="s">
        <v>797</v>
      </c>
      <c r="I215" s="13">
        <v>799</v>
      </c>
      <c r="J215" s="2" t="s">
        <v>835</v>
      </c>
      <c r="K215" s="10">
        <v>44810</v>
      </c>
      <c r="L215" s="14">
        <v>5.0000000000000001E-4</v>
      </c>
      <c r="M215" s="12" t="s">
        <v>844</v>
      </c>
    </row>
    <row r="216" spans="7:13">
      <c r="G216" s="16" t="s">
        <v>1388</v>
      </c>
      <c r="H216" s="4" t="s">
        <v>609</v>
      </c>
      <c r="I216" s="13">
        <v>206</v>
      </c>
      <c r="J216" s="2" t="s">
        <v>835</v>
      </c>
      <c r="K216" s="10">
        <v>44810</v>
      </c>
      <c r="L216" s="14">
        <v>5.0000000000000001E-4</v>
      </c>
      <c r="M216" s="12" t="s">
        <v>844</v>
      </c>
    </row>
    <row r="217" spans="7:13">
      <c r="G217" s="16" t="s">
        <v>1615</v>
      </c>
      <c r="H217" s="4" t="s">
        <v>534</v>
      </c>
      <c r="I217" s="13">
        <v>1258</v>
      </c>
      <c r="J217" s="2" t="s">
        <v>835</v>
      </c>
      <c r="K217" s="10">
        <v>44796</v>
      </c>
      <c r="L217" s="14">
        <v>1E-3</v>
      </c>
      <c r="M217" s="12" t="s">
        <v>828</v>
      </c>
    </row>
    <row r="218" spans="7:13">
      <c r="G218" s="16" t="s">
        <v>967</v>
      </c>
      <c r="H218" s="4" t="s">
        <v>373</v>
      </c>
      <c r="I218" s="13">
        <v>216</v>
      </c>
      <c r="J218" s="2" t="s">
        <v>843</v>
      </c>
      <c r="K218" s="10">
        <v>44796</v>
      </c>
      <c r="L218" s="14">
        <v>5.7999999999999996E-3</v>
      </c>
      <c r="M218" s="12" t="s">
        <v>828</v>
      </c>
    </row>
    <row r="219" spans="7:13">
      <c r="G219" s="16" t="s">
        <v>928</v>
      </c>
      <c r="H219" s="4" t="s">
        <v>119</v>
      </c>
      <c r="I219" s="13">
        <v>28</v>
      </c>
      <c r="J219" s="2" t="s">
        <v>843</v>
      </c>
      <c r="K219" s="10">
        <v>44790</v>
      </c>
      <c r="L219" s="14">
        <v>5.0000000000000001E-3</v>
      </c>
      <c r="M219" s="12" t="s">
        <v>842</v>
      </c>
    </row>
    <row r="220" spans="7:13">
      <c r="G220" s="16" t="s">
        <v>1345</v>
      </c>
      <c r="H220" s="4" t="s">
        <v>729</v>
      </c>
      <c r="I220" s="13">
        <v>98</v>
      </c>
      <c r="J220" s="2" t="s">
        <v>847</v>
      </c>
      <c r="K220" s="10">
        <v>44799</v>
      </c>
      <c r="L220" s="14">
        <v>1.5E-3</v>
      </c>
      <c r="M220" s="12" t="s">
        <v>839</v>
      </c>
    </row>
    <row r="221" spans="7:13">
      <c r="G221" s="16" t="s">
        <v>993</v>
      </c>
      <c r="H221" s="4" t="s">
        <v>675</v>
      </c>
      <c r="I221" s="13">
        <v>105</v>
      </c>
      <c r="J221" s="2" t="s">
        <v>847</v>
      </c>
      <c r="K221" s="10">
        <v>44799</v>
      </c>
      <c r="L221" s="14">
        <v>1.5E-3</v>
      </c>
      <c r="M221" s="12" t="s">
        <v>839</v>
      </c>
    </row>
    <row r="222" spans="7:13">
      <c r="G222" s="16" t="s">
        <v>1114</v>
      </c>
      <c r="H222" s="4" t="s">
        <v>416</v>
      </c>
      <c r="I222" s="13">
        <v>53</v>
      </c>
      <c r="J222" s="2" t="s">
        <v>862</v>
      </c>
      <c r="K222" s="10">
        <v>44771</v>
      </c>
      <c r="L222" s="14">
        <v>7.3000000000000001E-3</v>
      </c>
      <c r="M222" s="12" t="s">
        <v>855</v>
      </c>
    </row>
    <row r="223" spans="7:13">
      <c r="G223" s="16" t="s">
        <v>1611</v>
      </c>
      <c r="H223" s="4" t="s">
        <v>372</v>
      </c>
      <c r="I223" s="13">
        <v>61</v>
      </c>
      <c r="J223" s="2" t="s">
        <v>853</v>
      </c>
      <c r="K223" s="10">
        <v>44771</v>
      </c>
      <c r="L223" s="14">
        <v>4.0000000000000001E-3</v>
      </c>
      <c r="M223" s="12" t="s">
        <v>837</v>
      </c>
    </row>
    <row r="224" spans="7:13">
      <c r="G224" s="16" t="s">
        <v>1458</v>
      </c>
      <c r="H224" s="4" t="s">
        <v>604</v>
      </c>
      <c r="I224" s="13">
        <v>738</v>
      </c>
      <c r="J224" s="2" t="s">
        <v>841</v>
      </c>
      <c r="K224" s="10">
        <v>44771</v>
      </c>
      <c r="L224" s="14">
        <v>1E-3</v>
      </c>
      <c r="M224" s="12" t="s">
        <v>837</v>
      </c>
    </row>
    <row r="225" spans="7:13">
      <c r="G225" s="16" t="s">
        <v>1654</v>
      </c>
      <c r="H225" s="4" t="s">
        <v>121</v>
      </c>
      <c r="I225" s="13">
        <v>700</v>
      </c>
      <c r="J225" s="2" t="s">
        <v>841</v>
      </c>
      <c r="K225" s="10">
        <v>44782</v>
      </c>
      <c r="L225" s="14">
        <v>1.8E-3</v>
      </c>
      <c r="M225" s="12" t="s">
        <v>831</v>
      </c>
    </row>
    <row r="226" spans="7:13">
      <c r="G226" s="16" t="s">
        <v>969</v>
      </c>
      <c r="H226" s="4" t="s">
        <v>195</v>
      </c>
      <c r="I226" s="13">
        <v>575</v>
      </c>
      <c r="J226" s="2" t="s">
        <v>841</v>
      </c>
      <c r="K226" s="10">
        <v>44782</v>
      </c>
      <c r="L226" s="14">
        <v>1.8E-3</v>
      </c>
      <c r="M226" s="12" t="s">
        <v>831</v>
      </c>
    </row>
    <row r="227" spans="7:13">
      <c r="G227" s="16" t="s">
        <v>1511</v>
      </c>
      <c r="H227" s="4" t="s">
        <v>238</v>
      </c>
      <c r="I227" s="13">
        <v>59</v>
      </c>
      <c r="J227" s="2" t="s">
        <v>838</v>
      </c>
      <c r="K227" s="10">
        <v>44755</v>
      </c>
      <c r="L227" s="14">
        <v>4.5000000000000005E-3</v>
      </c>
      <c r="M227" s="12" t="s">
        <v>842</v>
      </c>
    </row>
    <row r="228" spans="7:13">
      <c r="G228" s="16" t="s">
        <v>1042</v>
      </c>
      <c r="H228" s="4" t="s">
        <v>64</v>
      </c>
      <c r="I228" s="13">
        <v>4428</v>
      </c>
      <c r="J228" s="2" t="s">
        <v>835</v>
      </c>
      <c r="K228" s="10">
        <v>44782</v>
      </c>
      <c r="L228" s="14">
        <v>4.0000000000000002E-4</v>
      </c>
      <c r="M228" s="12" t="s">
        <v>844</v>
      </c>
    </row>
    <row r="229" spans="7:13">
      <c r="G229" s="16" t="s">
        <v>880</v>
      </c>
      <c r="H229" s="4" t="s">
        <v>366</v>
      </c>
      <c r="I229" s="13">
        <v>74</v>
      </c>
      <c r="J229" s="2" t="s">
        <v>847</v>
      </c>
      <c r="K229" s="10">
        <v>44742</v>
      </c>
      <c r="L229" s="14">
        <v>3.8E-3</v>
      </c>
      <c r="M229" s="12" t="s">
        <v>855</v>
      </c>
    </row>
    <row r="230" spans="7:13">
      <c r="G230" s="16" t="s">
        <v>1187</v>
      </c>
      <c r="H230" s="4" t="s">
        <v>470</v>
      </c>
      <c r="I230" s="13">
        <v>68</v>
      </c>
      <c r="J230" s="2" t="s">
        <v>847</v>
      </c>
      <c r="K230" s="10">
        <v>44742</v>
      </c>
      <c r="L230" s="14">
        <v>3.4000000000000002E-3</v>
      </c>
      <c r="M230" s="12" t="s">
        <v>855</v>
      </c>
    </row>
    <row r="231" spans="7:13">
      <c r="G231" s="16" t="s">
        <v>953</v>
      </c>
      <c r="H231" s="4" t="s">
        <v>648</v>
      </c>
      <c r="I231" s="13">
        <v>66</v>
      </c>
      <c r="J231" s="2" t="s">
        <v>847</v>
      </c>
      <c r="K231" s="10">
        <v>44742</v>
      </c>
      <c r="L231" s="14">
        <v>3.0000000000000001E-3</v>
      </c>
      <c r="M231" s="12" t="s">
        <v>855</v>
      </c>
    </row>
    <row r="232" spans="7:13">
      <c r="G232" s="16" t="s">
        <v>883</v>
      </c>
      <c r="H232" s="4" t="s">
        <v>174</v>
      </c>
      <c r="I232" s="13">
        <v>301</v>
      </c>
      <c r="J232" s="2" t="s">
        <v>847</v>
      </c>
      <c r="K232" s="10">
        <v>44748</v>
      </c>
      <c r="L232" s="14">
        <v>2.5000000000000001E-3</v>
      </c>
      <c r="M232" s="12" t="s">
        <v>828</v>
      </c>
    </row>
    <row r="233" spans="7:13">
      <c r="G233" s="16" t="s">
        <v>1337</v>
      </c>
      <c r="H233" s="4" t="s">
        <v>124</v>
      </c>
      <c r="I233" s="13">
        <v>120</v>
      </c>
      <c r="J233" s="2" t="s">
        <v>843</v>
      </c>
      <c r="K233" s="10">
        <v>44740</v>
      </c>
      <c r="L233" s="14">
        <v>5.0000000000000001E-3</v>
      </c>
      <c r="M233" s="12" t="s">
        <v>839</v>
      </c>
    </row>
    <row r="234" spans="7:13">
      <c r="G234" s="16" t="s">
        <v>1539</v>
      </c>
      <c r="H234" s="4" t="s">
        <v>244</v>
      </c>
      <c r="I234" s="13">
        <v>295</v>
      </c>
      <c r="J234" s="2" t="s">
        <v>840</v>
      </c>
      <c r="K234" s="10">
        <v>44740</v>
      </c>
      <c r="L234" s="14">
        <v>1E-3</v>
      </c>
      <c r="M234" s="12" t="s">
        <v>852</v>
      </c>
    </row>
    <row r="235" spans="7:13">
      <c r="G235" s="16" t="s">
        <v>893</v>
      </c>
      <c r="H235" s="4" t="s">
        <v>327</v>
      </c>
      <c r="I235" s="13">
        <v>79</v>
      </c>
      <c r="J235" s="2" t="s">
        <v>845</v>
      </c>
      <c r="K235" s="10">
        <v>44740</v>
      </c>
      <c r="L235" s="14">
        <v>4.5000000000000005E-3</v>
      </c>
      <c r="M235" s="12" t="s">
        <v>849</v>
      </c>
    </row>
    <row r="236" spans="7:13">
      <c r="G236" s="16" t="s">
        <v>1124</v>
      </c>
      <c r="H236" s="4" t="s">
        <v>197</v>
      </c>
      <c r="I236" s="13">
        <v>241</v>
      </c>
      <c r="J236" s="2" t="s">
        <v>847</v>
      </c>
      <c r="K236" s="10">
        <v>44742</v>
      </c>
      <c r="L236" s="14">
        <v>3.0000000000000001E-3</v>
      </c>
      <c r="M236" s="12" t="s">
        <v>831</v>
      </c>
    </row>
    <row r="237" spans="7:13">
      <c r="G237" s="16" t="s">
        <v>974</v>
      </c>
      <c r="H237" s="4" t="s">
        <v>297</v>
      </c>
      <c r="I237" s="13">
        <v>58</v>
      </c>
      <c r="J237" s="2" t="s">
        <v>847</v>
      </c>
      <c r="K237" s="10">
        <v>44742</v>
      </c>
      <c r="L237" s="14">
        <v>2.5000000000000001E-3</v>
      </c>
      <c r="M237" s="12" t="s">
        <v>831</v>
      </c>
    </row>
    <row r="238" spans="7:13">
      <c r="G238" s="16" t="s">
        <v>1170</v>
      </c>
      <c r="H238" s="4" t="s">
        <v>398</v>
      </c>
      <c r="I238" s="13">
        <v>101</v>
      </c>
      <c r="J238" s="2" t="s">
        <v>847</v>
      </c>
      <c r="K238" s="10">
        <v>44742</v>
      </c>
      <c r="L238" s="14">
        <v>2E-3</v>
      </c>
      <c r="M238" s="12" t="s">
        <v>831</v>
      </c>
    </row>
    <row r="239" spans="7:13">
      <c r="G239" s="16" t="s">
        <v>1005</v>
      </c>
      <c r="H239" s="4" t="s">
        <v>299</v>
      </c>
      <c r="I239" s="13">
        <v>24</v>
      </c>
      <c r="J239" s="2" t="s">
        <v>847</v>
      </c>
      <c r="K239" s="10">
        <v>44742</v>
      </c>
      <c r="L239" s="14">
        <v>2E-3</v>
      </c>
      <c r="M239" s="12" t="s">
        <v>842</v>
      </c>
    </row>
    <row r="240" spans="7:13">
      <c r="G240" s="16" t="s">
        <v>992</v>
      </c>
      <c r="H240" s="4" t="s">
        <v>114</v>
      </c>
      <c r="I240" s="13">
        <v>20</v>
      </c>
      <c r="J240" s="2" t="s">
        <v>847</v>
      </c>
      <c r="K240" s="10">
        <v>44742</v>
      </c>
      <c r="L240" s="14">
        <v>1.8E-3</v>
      </c>
      <c r="M240" s="12" t="s">
        <v>842</v>
      </c>
    </row>
    <row r="241" spans="7:13">
      <c r="G241" s="16" t="s">
        <v>1150</v>
      </c>
      <c r="H241" s="4" t="s">
        <v>27</v>
      </c>
      <c r="I241" s="13">
        <v>23</v>
      </c>
      <c r="J241" s="2" t="s">
        <v>847</v>
      </c>
      <c r="K241" s="10">
        <v>44742</v>
      </c>
      <c r="L241" s="14">
        <v>1.6000000000000001E-3</v>
      </c>
      <c r="M241" s="12" t="s">
        <v>842</v>
      </c>
    </row>
    <row r="242" spans="7:13">
      <c r="G242" s="16" t="s">
        <v>1667</v>
      </c>
      <c r="H242" s="4" t="s">
        <v>407</v>
      </c>
      <c r="I242" s="13">
        <v>22</v>
      </c>
      <c r="J242" s="2" t="s">
        <v>847</v>
      </c>
      <c r="K242" s="10">
        <v>44742</v>
      </c>
      <c r="L242" s="14">
        <v>1.4000000000000002E-3</v>
      </c>
      <c r="M242" s="12" t="s">
        <v>842</v>
      </c>
    </row>
    <row r="243" spans="7:13">
      <c r="G243" s="16" t="s">
        <v>1621</v>
      </c>
      <c r="H243" s="4" t="s">
        <v>693</v>
      </c>
      <c r="I243" s="13">
        <v>82</v>
      </c>
      <c r="J243" s="2" t="s">
        <v>838</v>
      </c>
      <c r="K243" s="10">
        <v>44740</v>
      </c>
      <c r="L243" s="14">
        <v>3.0000000000000001E-3</v>
      </c>
      <c r="M243" s="12" t="s">
        <v>839</v>
      </c>
    </row>
    <row r="244" spans="7:13">
      <c r="G244" s="16" t="s">
        <v>906</v>
      </c>
      <c r="H244" s="4" t="s">
        <v>83</v>
      </c>
      <c r="I244" s="13">
        <v>548</v>
      </c>
      <c r="J244" s="2" t="s">
        <v>832</v>
      </c>
      <c r="K244" s="10">
        <v>44733</v>
      </c>
      <c r="L244" s="14">
        <v>5.0000000000000001E-4</v>
      </c>
      <c r="M244" s="12" t="s">
        <v>844</v>
      </c>
    </row>
    <row r="245" spans="7:13">
      <c r="G245" s="16" t="s">
        <v>1609</v>
      </c>
      <c r="H245" s="4" t="s">
        <v>274</v>
      </c>
      <c r="I245" s="13">
        <v>45</v>
      </c>
      <c r="J245" s="2" t="s">
        <v>840</v>
      </c>
      <c r="K245" s="10">
        <v>44748</v>
      </c>
      <c r="L245" s="14">
        <v>3.5499999999999998E-3</v>
      </c>
      <c r="M245" s="12" t="s">
        <v>875</v>
      </c>
    </row>
    <row r="246" spans="7:13">
      <c r="G246" s="16" t="s">
        <v>1631</v>
      </c>
      <c r="H246" s="4" t="s">
        <v>532</v>
      </c>
      <c r="I246" s="13">
        <v>86</v>
      </c>
      <c r="J246" s="2" t="s">
        <v>832</v>
      </c>
      <c r="K246" s="10">
        <v>44740</v>
      </c>
      <c r="L246" s="14">
        <v>9.9000000000000008E-3</v>
      </c>
      <c r="M246" s="12" t="s">
        <v>833</v>
      </c>
    </row>
    <row r="247" spans="7:13">
      <c r="G247" s="16" t="s">
        <v>1470</v>
      </c>
      <c r="H247" s="4" t="s">
        <v>312</v>
      </c>
      <c r="I247" s="13">
        <v>39</v>
      </c>
      <c r="J247" s="2" t="s">
        <v>843</v>
      </c>
      <c r="K247" s="10">
        <v>44720</v>
      </c>
      <c r="L247" s="14">
        <v>5.0000000000000001E-3</v>
      </c>
      <c r="M247" s="12" t="s">
        <v>849</v>
      </c>
    </row>
    <row r="248" spans="7:13">
      <c r="G248" s="16" t="s">
        <v>1514</v>
      </c>
      <c r="H248" s="4" t="s">
        <v>491</v>
      </c>
      <c r="I248" s="13">
        <v>81</v>
      </c>
      <c r="J248" s="2" t="s">
        <v>832</v>
      </c>
      <c r="K248" s="10">
        <v>44720</v>
      </c>
      <c r="L248" s="14">
        <v>4.4999999999999999E-4</v>
      </c>
      <c r="M248" s="12" t="s">
        <v>849</v>
      </c>
    </row>
    <row r="249" spans="7:13">
      <c r="G249" s="16" t="s">
        <v>897</v>
      </c>
      <c r="H249" s="4" t="s">
        <v>644</v>
      </c>
      <c r="I249" s="13">
        <v>77</v>
      </c>
      <c r="J249" s="2" t="s">
        <v>835</v>
      </c>
      <c r="K249" s="10">
        <v>44726</v>
      </c>
      <c r="L249" s="14">
        <v>7.000000000000001E-4</v>
      </c>
      <c r="M249" s="12" t="s">
        <v>837</v>
      </c>
    </row>
    <row r="250" spans="7:13">
      <c r="G250" s="16" t="s">
        <v>1585</v>
      </c>
      <c r="H250" s="4" t="s">
        <v>393</v>
      </c>
      <c r="I250" s="13">
        <v>110</v>
      </c>
      <c r="J250" s="2" t="s">
        <v>830</v>
      </c>
      <c r="K250" s="10">
        <v>44712</v>
      </c>
      <c r="L250" s="14">
        <v>1.5E-3</v>
      </c>
      <c r="M250" s="12" t="s">
        <v>855</v>
      </c>
    </row>
    <row r="251" spans="7:13">
      <c r="G251" s="16" t="s">
        <v>1306</v>
      </c>
      <c r="H251" s="4" t="s">
        <v>271</v>
      </c>
      <c r="I251" s="13">
        <v>57</v>
      </c>
      <c r="J251" s="2" t="s">
        <v>847</v>
      </c>
      <c r="K251" s="10">
        <v>44726</v>
      </c>
      <c r="L251" s="14">
        <v>5.5000000000000005E-3</v>
      </c>
      <c r="M251" s="12" t="s">
        <v>844</v>
      </c>
    </row>
    <row r="252" spans="7:13">
      <c r="G252" s="16" t="s">
        <v>1681</v>
      </c>
      <c r="H252" s="4" t="s">
        <v>652</v>
      </c>
      <c r="I252" s="13">
        <v>56</v>
      </c>
      <c r="J252" s="2" t="s">
        <v>847</v>
      </c>
      <c r="K252" s="10">
        <v>44726</v>
      </c>
      <c r="L252" s="14">
        <v>5.5000000000000005E-3</v>
      </c>
      <c r="M252" s="12" t="s">
        <v>844</v>
      </c>
    </row>
    <row r="253" spans="7:13">
      <c r="G253" s="16" t="s">
        <v>1365</v>
      </c>
      <c r="H253" s="4" t="s">
        <v>222</v>
      </c>
      <c r="I253" s="13">
        <v>46</v>
      </c>
      <c r="J253" s="2" t="s">
        <v>872</v>
      </c>
      <c r="K253" s="10">
        <v>44705</v>
      </c>
      <c r="L253" s="14">
        <v>5.2000000000000006E-3</v>
      </c>
      <c r="M253" s="12" t="s">
        <v>855</v>
      </c>
    </row>
    <row r="254" spans="7:13">
      <c r="G254" s="16" t="s">
        <v>913</v>
      </c>
      <c r="H254" s="4" t="s">
        <v>136</v>
      </c>
      <c r="I254" s="13">
        <v>138</v>
      </c>
      <c r="J254" s="2" t="s">
        <v>832</v>
      </c>
      <c r="K254" s="10">
        <v>44712</v>
      </c>
      <c r="L254" s="14">
        <v>7.000000000000001E-4</v>
      </c>
      <c r="M254" s="12" t="s">
        <v>842</v>
      </c>
    </row>
    <row r="255" spans="7:13">
      <c r="G255" s="16" t="s">
        <v>1485</v>
      </c>
      <c r="H255" s="4" t="s">
        <v>638</v>
      </c>
      <c r="I255" s="13">
        <v>38</v>
      </c>
      <c r="J255" s="2" t="s">
        <v>872</v>
      </c>
      <c r="K255" s="10">
        <v>44705</v>
      </c>
      <c r="L255" s="14">
        <v>2.5000000000000001E-3</v>
      </c>
      <c r="M255" s="12" t="s">
        <v>842</v>
      </c>
    </row>
    <row r="256" spans="7:13">
      <c r="G256" s="16" t="s">
        <v>926</v>
      </c>
      <c r="H256" s="4" t="s">
        <v>159</v>
      </c>
      <c r="I256" s="13">
        <v>89</v>
      </c>
      <c r="J256" s="2" t="s">
        <v>832</v>
      </c>
      <c r="K256" s="10">
        <v>44698</v>
      </c>
      <c r="L256" s="14">
        <v>4.8999999999999998E-3</v>
      </c>
      <c r="M256" s="12" t="s">
        <v>828</v>
      </c>
    </row>
    <row r="257" spans="7:13">
      <c r="G257" s="16" t="s">
        <v>1567</v>
      </c>
      <c r="H257" s="4" t="s">
        <v>525</v>
      </c>
      <c r="I257" s="13">
        <v>342</v>
      </c>
      <c r="J257" s="2" t="s">
        <v>843</v>
      </c>
      <c r="K257" s="10">
        <v>44698</v>
      </c>
      <c r="L257" s="14">
        <v>2.5000000000000001E-3</v>
      </c>
      <c r="M257" s="12" t="s">
        <v>828</v>
      </c>
    </row>
    <row r="258" spans="7:13">
      <c r="G258" s="16" t="s">
        <v>1063</v>
      </c>
      <c r="H258" s="4" t="s">
        <v>596</v>
      </c>
      <c r="I258" s="13">
        <v>77</v>
      </c>
      <c r="J258" s="2" t="s">
        <v>843</v>
      </c>
      <c r="K258" s="10">
        <v>44698</v>
      </c>
      <c r="L258" s="14">
        <v>5.0000000000000001E-3</v>
      </c>
      <c r="M258" s="12" t="s">
        <v>831</v>
      </c>
    </row>
    <row r="259" spans="7:13">
      <c r="G259" s="16" t="s">
        <v>1011</v>
      </c>
      <c r="H259" s="4" t="s">
        <v>809</v>
      </c>
      <c r="I259" s="13">
        <v>48</v>
      </c>
      <c r="J259" s="2" t="s">
        <v>843</v>
      </c>
      <c r="K259" s="10">
        <v>44698</v>
      </c>
      <c r="L259" s="14">
        <v>5.0000000000000001E-3</v>
      </c>
      <c r="M259" s="12" t="s">
        <v>831</v>
      </c>
    </row>
    <row r="260" spans="7:13">
      <c r="G260" s="16" t="s">
        <v>1048</v>
      </c>
      <c r="H260" s="4" t="s">
        <v>122</v>
      </c>
      <c r="I260" s="13">
        <v>35</v>
      </c>
      <c r="J260" s="2" t="s">
        <v>845</v>
      </c>
      <c r="K260" s="10">
        <v>44698</v>
      </c>
      <c r="L260" s="14">
        <v>4.5000000000000005E-3</v>
      </c>
      <c r="M260" s="12" t="s">
        <v>837</v>
      </c>
    </row>
    <row r="261" spans="7:13">
      <c r="G261" s="16" t="s">
        <v>1172</v>
      </c>
      <c r="H261" s="4" t="s">
        <v>464</v>
      </c>
      <c r="I261" s="13">
        <v>46</v>
      </c>
      <c r="J261" s="2" t="s">
        <v>845</v>
      </c>
      <c r="K261" s="10">
        <v>44698</v>
      </c>
      <c r="L261" s="14">
        <v>4.5000000000000005E-3</v>
      </c>
      <c r="M261" s="12" t="s">
        <v>837</v>
      </c>
    </row>
    <row r="262" spans="7:13">
      <c r="G262" s="16" t="s">
        <v>1329</v>
      </c>
      <c r="H262" s="4" t="s">
        <v>198</v>
      </c>
      <c r="I262" s="13">
        <v>21</v>
      </c>
      <c r="J262" s="2" t="s">
        <v>843</v>
      </c>
      <c r="K262" s="10">
        <v>44692</v>
      </c>
      <c r="L262" s="14">
        <v>5.0000000000000001E-3</v>
      </c>
      <c r="M262" s="12" t="s">
        <v>842</v>
      </c>
    </row>
    <row r="263" spans="7:13">
      <c r="G263" s="16" t="s">
        <v>1583</v>
      </c>
      <c r="H263" s="4" t="s">
        <v>588</v>
      </c>
      <c r="I263" s="13">
        <v>40</v>
      </c>
      <c r="J263" s="2" t="s">
        <v>832</v>
      </c>
      <c r="K263" s="10">
        <v>44677</v>
      </c>
      <c r="L263" s="14">
        <v>5.2000000000000006E-3</v>
      </c>
      <c r="M263" s="12" t="s">
        <v>855</v>
      </c>
    </row>
    <row r="264" spans="7:13">
      <c r="G264" s="16" t="s">
        <v>1127</v>
      </c>
      <c r="H264" s="4" t="s">
        <v>205</v>
      </c>
      <c r="I264" s="13">
        <v>253</v>
      </c>
      <c r="J264" s="2" t="s">
        <v>835</v>
      </c>
      <c r="K264" s="10">
        <v>44692</v>
      </c>
      <c r="L264" s="14">
        <v>7.000000000000001E-4</v>
      </c>
      <c r="M264" s="12" t="s">
        <v>834</v>
      </c>
    </row>
    <row r="265" spans="7:13">
      <c r="G265" s="16" t="s">
        <v>1453</v>
      </c>
      <c r="H265" s="4" t="s">
        <v>479</v>
      </c>
      <c r="I265" s="13">
        <v>139</v>
      </c>
      <c r="J265" s="2" t="s">
        <v>832</v>
      </c>
      <c r="K265" s="10">
        <v>44692</v>
      </c>
      <c r="L265" s="14">
        <v>8.0000000000000002E-3</v>
      </c>
      <c r="M265" s="12" t="s">
        <v>866</v>
      </c>
    </row>
    <row r="266" spans="7:13">
      <c r="G266" s="16" t="s">
        <v>1407</v>
      </c>
      <c r="H266" s="4" t="s">
        <v>730</v>
      </c>
      <c r="I266" s="13">
        <v>85</v>
      </c>
      <c r="J266" s="2" t="s">
        <v>832</v>
      </c>
      <c r="K266" s="10">
        <v>44692</v>
      </c>
      <c r="L266" s="14">
        <v>8.0000000000000002E-3</v>
      </c>
      <c r="M266" s="12" t="s">
        <v>866</v>
      </c>
    </row>
    <row r="267" spans="7:13">
      <c r="G267" s="16" t="s">
        <v>902</v>
      </c>
      <c r="H267" s="4" t="s">
        <v>615</v>
      </c>
      <c r="I267" s="13">
        <v>69</v>
      </c>
      <c r="J267" s="2" t="s">
        <v>854</v>
      </c>
      <c r="K267" s="10">
        <v>44670</v>
      </c>
      <c r="L267" s="14">
        <v>5.0000000000000001E-3</v>
      </c>
      <c r="M267" s="12" t="s">
        <v>849</v>
      </c>
    </row>
    <row r="268" spans="7:13">
      <c r="G268" s="16" t="s">
        <v>1162</v>
      </c>
      <c r="H268" s="4" t="s">
        <v>616</v>
      </c>
      <c r="I268" s="13">
        <v>927</v>
      </c>
      <c r="J268" s="2" t="s">
        <v>854</v>
      </c>
      <c r="K268" s="10">
        <v>44670</v>
      </c>
      <c r="L268" s="14">
        <v>5.7999999999999996E-3</v>
      </c>
      <c r="M268" s="12" t="s">
        <v>828</v>
      </c>
    </row>
    <row r="269" spans="7:13">
      <c r="G269" s="16" t="s">
        <v>1220</v>
      </c>
      <c r="H269" s="4" t="s">
        <v>513</v>
      </c>
      <c r="I269" s="13">
        <v>191</v>
      </c>
      <c r="J269" s="2" t="s">
        <v>853</v>
      </c>
      <c r="K269" s="10">
        <v>44663</v>
      </c>
      <c r="L269" s="14">
        <v>5.5000000000000005E-3</v>
      </c>
      <c r="M269" s="12" t="s">
        <v>844</v>
      </c>
    </row>
    <row r="270" spans="7:13">
      <c r="G270" s="16" t="s">
        <v>1364</v>
      </c>
      <c r="H270" s="4" t="s">
        <v>692</v>
      </c>
      <c r="I270" s="13">
        <v>47108</v>
      </c>
      <c r="J270" s="2" t="s">
        <v>857</v>
      </c>
      <c r="K270" s="10">
        <v>44677</v>
      </c>
      <c r="L270" s="14">
        <v>5.0000000000000001E-4</v>
      </c>
      <c r="M270" s="12" t="s">
        <v>831</v>
      </c>
    </row>
    <row r="271" spans="7:13">
      <c r="G271" s="16" t="s">
        <v>972</v>
      </c>
      <c r="H271" s="4" t="s">
        <v>37</v>
      </c>
      <c r="I271" s="13">
        <v>1356</v>
      </c>
      <c r="J271" s="2" t="s">
        <v>848</v>
      </c>
      <c r="K271" s="10">
        <v>44659</v>
      </c>
      <c r="L271" s="14">
        <v>3.4999999999999996E-3</v>
      </c>
      <c r="M271" s="12" t="s">
        <v>837</v>
      </c>
    </row>
    <row r="272" spans="7:13">
      <c r="G272" s="16" t="s">
        <v>1417</v>
      </c>
      <c r="H272" s="4" t="s">
        <v>780</v>
      </c>
      <c r="I272" s="13">
        <v>121</v>
      </c>
      <c r="J272" s="2" t="s">
        <v>845</v>
      </c>
      <c r="K272" s="10">
        <v>44649</v>
      </c>
      <c r="L272" s="14">
        <v>6.0000000000000001E-3</v>
      </c>
      <c r="M272" s="12" t="s">
        <v>864</v>
      </c>
    </row>
    <row r="273" spans="7:13">
      <c r="G273" s="16" t="s">
        <v>1034</v>
      </c>
      <c r="H273" s="4" t="s">
        <v>131</v>
      </c>
      <c r="I273" s="13">
        <v>127</v>
      </c>
      <c r="J273" s="2" t="s">
        <v>848</v>
      </c>
      <c r="K273" s="10">
        <v>44649</v>
      </c>
      <c r="L273" s="14">
        <v>4.5000000000000005E-3</v>
      </c>
      <c r="M273" s="12" t="s">
        <v>842</v>
      </c>
    </row>
    <row r="274" spans="7:13">
      <c r="G274" s="16" t="s">
        <v>1603</v>
      </c>
      <c r="H274" s="4" t="s">
        <v>475</v>
      </c>
      <c r="I274" s="13">
        <v>1103</v>
      </c>
      <c r="J274" s="2" t="s">
        <v>835</v>
      </c>
      <c r="K274" s="10">
        <v>44623</v>
      </c>
      <c r="L274" s="14">
        <v>1.5E-3</v>
      </c>
      <c r="M274" s="12" t="s">
        <v>855</v>
      </c>
    </row>
    <row r="275" spans="7:13">
      <c r="G275" s="16" t="s">
        <v>1188</v>
      </c>
      <c r="H275" s="4" t="s">
        <v>565</v>
      </c>
      <c r="I275" s="13">
        <v>62</v>
      </c>
      <c r="J275" s="2" t="s">
        <v>853</v>
      </c>
      <c r="K275" s="10">
        <v>44607</v>
      </c>
      <c r="L275" s="14">
        <v>5.0000000000000001E-3</v>
      </c>
      <c r="M275" s="12" t="s">
        <v>842</v>
      </c>
    </row>
    <row r="276" spans="7:13">
      <c r="G276" s="16" t="s">
        <v>1201</v>
      </c>
      <c r="H276" s="4" t="s">
        <v>626</v>
      </c>
      <c r="I276" s="13">
        <v>401</v>
      </c>
      <c r="J276" s="2" t="s">
        <v>843</v>
      </c>
      <c r="K276" s="10">
        <v>44642</v>
      </c>
      <c r="L276" s="14">
        <v>2.5000000000000001E-3</v>
      </c>
      <c r="M276" s="12" t="s">
        <v>831</v>
      </c>
    </row>
    <row r="277" spans="7:13">
      <c r="G277" s="16" t="s">
        <v>1015</v>
      </c>
      <c r="H277" s="4" t="s">
        <v>156</v>
      </c>
      <c r="I277" s="13">
        <v>88</v>
      </c>
      <c r="J277" s="2" t="s">
        <v>843</v>
      </c>
      <c r="K277" s="10">
        <v>44642</v>
      </c>
      <c r="L277" s="14">
        <v>4.5000000000000005E-3</v>
      </c>
      <c r="M277" s="12" t="s">
        <v>831</v>
      </c>
    </row>
    <row r="278" spans="7:13">
      <c r="G278" s="16" t="s">
        <v>958</v>
      </c>
      <c r="H278" s="4" t="s">
        <v>326</v>
      </c>
      <c r="I278" s="13">
        <v>48</v>
      </c>
      <c r="J278" s="2" t="s">
        <v>843</v>
      </c>
      <c r="K278" s="10">
        <v>44614</v>
      </c>
      <c r="L278" s="14">
        <v>4.8999999999999998E-3</v>
      </c>
      <c r="M278" s="12" t="s">
        <v>849</v>
      </c>
    </row>
    <row r="279" spans="7:13">
      <c r="G279" s="16" t="s">
        <v>1214</v>
      </c>
      <c r="H279" s="4" t="s">
        <v>36</v>
      </c>
      <c r="I279" s="13">
        <v>119</v>
      </c>
      <c r="J279" s="2" t="s">
        <v>843</v>
      </c>
      <c r="K279" s="10">
        <v>44614</v>
      </c>
      <c r="L279" s="14">
        <v>4.8999999999999998E-3</v>
      </c>
      <c r="M279" s="12" t="s">
        <v>828</v>
      </c>
    </row>
    <row r="280" spans="7:13">
      <c r="G280" s="16" t="s">
        <v>1290</v>
      </c>
      <c r="H280" s="4" t="s">
        <v>234</v>
      </c>
      <c r="I280" s="13">
        <v>425</v>
      </c>
      <c r="J280" s="2" t="s">
        <v>854</v>
      </c>
      <c r="K280" s="10">
        <v>44614</v>
      </c>
      <c r="L280" s="14">
        <v>2.5000000000000001E-3</v>
      </c>
      <c r="M280" s="12" t="s">
        <v>828</v>
      </c>
    </row>
    <row r="281" spans="7:13">
      <c r="G281" s="16" t="s">
        <v>1436</v>
      </c>
      <c r="H281" s="4" t="s">
        <v>798</v>
      </c>
      <c r="I281" s="13">
        <v>333</v>
      </c>
      <c r="J281" s="2" t="s">
        <v>845</v>
      </c>
      <c r="K281" s="10">
        <v>44600</v>
      </c>
      <c r="L281" s="14">
        <v>5.0000000000000001E-3</v>
      </c>
      <c r="M281" s="12" t="s">
        <v>828</v>
      </c>
    </row>
    <row r="282" spans="7:13">
      <c r="G282" s="16" t="s">
        <v>961</v>
      </c>
      <c r="H282" s="4" t="s">
        <v>415</v>
      </c>
      <c r="I282" s="13">
        <v>73</v>
      </c>
      <c r="J282" s="2" t="s">
        <v>853</v>
      </c>
      <c r="K282" s="10">
        <v>44607</v>
      </c>
      <c r="L282" s="14">
        <v>4.0000000000000001E-3</v>
      </c>
      <c r="M282" s="12" t="s">
        <v>837</v>
      </c>
    </row>
    <row r="283" spans="7:13">
      <c r="G283" s="16" t="s">
        <v>1245</v>
      </c>
      <c r="H283" s="4" t="s">
        <v>723</v>
      </c>
      <c r="I283" s="13">
        <v>55</v>
      </c>
      <c r="J283" s="2" t="s">
        <v>854</v>
      </c>
      <c r="K283" s="10">
        <v>44574</v>
      </c>
      <c r="L283" s="14">
        <v>5.0000000000000001E-3</v>
      </c>
      <c r="M283" s="12" t="s">
        <v>839</v>
      </c>
    </row>
    <row r="284" spans="7:13">
      <c r="G284" s="16" t="s">
        <v>1504</v>
      </c>
      <c r="H284" s="4" t="s">
        <v>219</v>
      </c>
      <c r="I284" s="13">
        <v>25</v>
      </c>
      <c r="J284" s="2" t="s">
        <v>829</v>
      </c>
      <c r="K284" s="10">
        <v>44579</v>
      </c>
      <c r="L284" s="14">
        <v>5.0000000000000001E-3</v>
      </c>
      <c r="M284" s="12" t="s">
        <v>842</v>
      </c>
    </row>
    <row r="285" spans="7:13">
      <c r="G285" s="16" t="s">
        <v>1656</v>
      </c>
      <c r="H285" s="4" t="s">
        <v>555</v>
      </c>
      <c r="I285" s="13">
        <v>68</v>
      </c>
      <c r="J285" s="2" t="s">
        <v>854</v>
      </c>
      <c r="K285" s="10">
        <v>44574</v>
      </c>
      <c r="L285" s="14">
        <v>5.5000000000000005E-3</v>
      </c>
      <c r="M285" s="12" t="s">
        <v>844</v>
      </c>
    </row>
    <row r="286" spans="7:13">
      <c r="G286" s="16" t="s">
        <v>925</v>
      </c>
      <c r="H286" s="4" t="s">
        <v>380</v>
      </c>
      <c r="I286" s="13">
        <v>192</v>
      </c>
      <c r="J286" s="2" t="s">
        <v>854</v>
      </c>
      <c r="K286" s="10">
        <v>44574</v>
      </c>
      <c r="L286" s="14">
        <v>8.9999999999999998E-4</v>
      </c>
      <c r="M286" s="12" t="s">
        <v>831</v>
      </c>
    </row>
    <row r="287" spans="7:13">
      <c r="G287" s="16" t="s">
        <v>1406</v>
      </c>
      <c r="H287" s="4" t="s">
        <v>646</v>
      </c>
      <c r="I287" s="13">
        <v>1273</v>
      </c>
      <c r="J287" s="2" t="s">
        <v>854</v>
      </c>
      <c r="K287" s="10">
        <v>44574</v>
      </c>
      <c r="L287" s="14">
        <v>8.9999999999999998E-4</v>
      </c>
      <c r="M287" s="12" t="s">
        <v>828</v>
      </c>
    </row>
    <row r="288" spans="7:13">
      <c r="G288" s="16" t="s">
        <v>1475</v>
      </c>
      <c r="H288" s="4" t="s">
        <v>633</v>
      </c>
      <c r="I288" s="13">
        <v>616</v>
      </c>
      <c r="J288" s="2" t="s">
        <v>853</v>
      </c>
      <c r="K288" s="10">
        <v>44607</v>
      </c>
      <c r="L288" s="14">
        <v>2.8999999999999998E-3</v>
      </c>
      <c r="M288" s="12" t="s">
        <v>839</v>
      </c>
    </row>
    <row r="289" spans="7:13">
      <c r="G289" s="16" t="s">
        <v>1167</v>
      </c>
      <c r="H289" s="4" t="s">
        <v>614</v>
      </c>
      <c r="I289" s="13">
        <v>75</v>
      </c>
      <c r="J289" s="2" t="s">
        <v>845</v>
      </c>
      <c r="K289" s="10">
        <v>44566</v>
      </c>
      <c r="L289" s="14">
        <v>3.0999999999999999E-3</v>
      </c>
      <c r="M289" s="12" t="s">
        <v>834</v>
      </c>
    </row>
    <row r="290" spans="7:13">
      <c r="G290" s="16" t="s">
        <v>1020</v>
      </c>
      <c r="H290" s="4" t="s">
        <v>39</v>
      </c>
      <c r="I290" s="13">
        <v>44</v>
      </c>
      <c r="J290" s="2" t="s">
        <v>853</v>
      </c>
      <c r="K290" s="10">
        <v>44552</v>
      </c>
      <c r="L290" s="14">
        <v>5.0000000000000001E-3</v>
      </c>
      <c r="M290" s="12" t="s">
        <v>844</v>
      </c>
    </row>
    <row r="291" spans="7:13">
      <c r="G291" s="16" t="s">
        <v>1370</v>
      </c>
      <c r="H291" s="4" t="s">
        <v>647</v>
      </c>
      <c r="I291" s="13">
        <v>1561</v>
      </c>
      <c r="J291" s="2" t="s">
        <v>853</v>
      </c>
      <c r="K291" s="10">
        <v>44552</v>
      </c>
      <c r="L291" s="14">
        <v>7.9000000000000008E-3</v>
      </c>
      <c r="M291" s="12" t="s">
        <v>828</v>
      </c>
    </row>
    <row r="292" spans="7:13">
      <c r="G292" s="16" t="s">
        <v>1174</v>
      </c>
      <c r="H292" s="4" t="s">
        <v>410</v>
      </c>
      <c r="I292" s="13">
        <v>377</v>
      </c>
      <c r="J292" s="2" t="s">
        <v>848</v>
      </c>
      <c r="K292" s="10">
        <v>44545</v>
      </c>
      <c r="L292" s="14">
        <v>5.8999999999999999E-3</v>
      </c>
      <c r="M292" s="12" t="s">
        <v>828</v>
      </c>
    </row>
    <row r="293" spans="7:13">
      <c r="G293" s="16" t="s">
        <v>1660</v>
      </c>
      <c r="H293" s="4" t="s">
        <v>256</v>
      </c>
      <c r="I293" s="13">
        <v>23</v>
      </c>
      <c r="J293" s="2" t="s">
        <v>848</v>
      </c>
      <c r="K293" s="10">
        <v>44545</v>
      </c>
      <c r="L293" s="14">
        <v>5.8999999999999999E-3</v>
      </c>
      <c r="M293" s="12" t="s">
        <v>828</v>
      </c>
    </row>
    <row r="294" spans="7:13">
      <c r="G294" s="16" t="s">
        <v>1198</v>
      </c>
      <c r="H294" s="4" t="s">
        <v>523</v>
      </c>
      <c r="I294" s="13">
        <v>38</v>
      </c>
      <c r="J294" s="2" t="s">
        <v>832</v>
      </c>
      <c r="K294" s="10">
        <v>44552</v>
      </c>
      <c r="L294" s="14">
        <v>2.5000000000000001E-3</v>
      </c>
      <c r="M294" s="12" t="s">
        <v>855</v>
      </c>
    </row>
    <row r="295" spans="7:13">
      <c r="G295" s="16" t="s">
        <v>1182</v>
      </c>
      <c r="H295" s="4" t="s">
        <v>287</v>
      </c>
      <c r="I295" s="13">
        <v>148</v>
      </c>
      <c r="J295" s="2" t="s">
        <v>853</v>
      </c>
      <c r="K295" s="10">
        <v>44552</v>
      </c>
      <c r="L295" s="14">
        <v>5.0000000000000001E-3</v>
      </c>
      <c r="M295" s="12" t="s">
        <v>837</v>
      </c>
    </row>
    <row r="296" spans="7:13">
      <c r="G296" s="16" t="s">
        <v>1196</v>
      </c>
      <c r="H296" s="4" t="s">
        <v>62</v>
      </c>
      <c r="I296" s="13">
        <v>371</v>
      </c>
      <c r="J296" s="2" t="s">
        <v>840</v>
      </c>
      <c r="K296" s="10">
        <v>44539</v>
      </c>
      <c r="L296" s="14">
        <v>1.5E-3</v>
      </c>
      <c r="M296" s="12" t="s">
        <v>844</v>
      </c>
    </row>
    <row r="297" spans="7:13">
      <c r="G297" s="16" t="s">
        <v>1617</v>
      </c>
      <c r="H297" s="4" t="s">
        <v>515</v>
      </c>
      <c r="I297" s="13">
        <v>744</v>
      </c>
      <c r="J297" s="2" t="s">
        <v>853</v>
      </c>
      <c r="K297" s="10">
        <v>44552</v>
      </c>
      <c r="L297" s="14">
        <v>5.0000000000000001E-3</v>
      </c>
      <c r="M297" s="12" t="s">
        <v>831</v>
      </c>
    </row>
    <row r="298" spans="7:13">
      <c r="G298" s="16" t="s">
        <v>1375</v>
      </c>
      <c r="H298" s="4" t="s">
        <v>132</v>
      </c>
      <c r="I298" s="13">
        <v>1033</v>
      </c>
      <c r="J298" s="2" t="s">
        <v>863</v>
      </c>
      <c r="K298" s="10">
        <v>44545</v>
      </c>
      <c r="L298" s="14">
        <v>5.0000000000000001E-3</v>
      </c>
      <c r="M298" s="12" t="s">
        <v>839</v>
      </c>
    </row>
    <row r="299" spans="7:13">
      <c r="G299" s="16" t="s">
        <v>1296</v>
      </c>
      <c r="H299" s="4" t="s">
        <v>522</v>
      </c>
      <c r="I299" s="13">
        <v>154</v>
      </c>
      <c r="J299" s="2" t="s">
        <v>853</v>
      </c>
      <c r="K299" s="10">
        <v>44552</v>
      </c>
      <c r="L299" s="14">
        <v>5.0000000000000001E-3</v>
      </c>
      <c r="M299" s="12" t="s">
        <v>839</v>
      </c>
    </row>
    <row r="300" spans="7:13">
      <c r="G300" s="16" t="s">
        <v>1604</v>
      </c>
      <c r="H300" s="4" t="s">
        <v>186</v>
      </c>
      <c r="I300" s="13">
        <v>77</v>
      </c>
      <c r="J300" s="2" t="s">
        <v>848</v>
      </c>
      <c r="K300" s="10">
        <v>44545</v>
      </c>
      <c r="L300" s="14">
        <v>8.0000000000000002E-3</v>
      </c>
      <c r="M300" s="12" t="s">
        <v>866</v>
      </c>
    </row>
    <row r="301" spans="7:13">
      <c r="G301" s="16" t="s">
        <v>1237</v>
      </c>
      <c r="H301" s="4" t="s">
        <v>86</v>
      </c>
      <c r="I301" s="13">
        <v>1943</v>
      </c>
      <c r="J301" s="2" t="s">
        <v>854</v>
      </c>
      <c r="K301" s="10">
        <v>44539</v>
      </c>
      <c r="L301" s="14">
        <v>3.0000000000000001E-3</v>
      </c>
      <c r="M301" s="12" t="s">
        <v>831</v>
      </c>
    </row>
    <row r="302" spans="7:13">
      <c r="G302" s="16" t="s">
        <v>1062</v>
      </c>
      <c r="H302" s="4" t="s">
        <v>605</v>
      </c>
      <c r="I302" s="13">
        <v>149</v>
      </c>
      <c r="J302" s="2" t="s">
        <v>854</v>
      </c>
      <c r="K302" s="10">
        <v>44539</v>
      </c>
      <c r="L302" s="14">
        <v>3.0000000000000001E-3</v>
      </c>
      <c r="M302" s="12" t="s">
        <v>831</v>
      </c>
    </row>
    <row r="303" spans="7:13">
      <c r="G303" s="16" t="s">
        <v>1509</v>
      </c>
      <c r="H303" s="4" t="s">
        <v>413</v>
      </c>
      <c r="I303" s="13">
        <v>487</v>
      </c>
      <c r="J303" s="2" t="s">
        <v>853</v>
      </c>
      <c r="K303" s="10">
        <v>44516</v>
      </c>
      <c r="L303" s="14">
        <v>9.9000000000000008E-3</v>
      </c>
      <c r="M303" s="12" t="s">
        <v>833</v>
      </c>
    </row>
    <row r="304" spans="7:13">
      <c r="G304" s="16" t="s">
        <v>1186</v>
      </c>
      <c r="H304" s="4" t="s">
        <v>492</v>
      </c>
      <c r="I304" s="13">
        <v>159</v>
      </c>
      <c r="J304" s="2" t="s">
        <v>848</v>
      </c>
      <c r="K304" s="10">
        <v>44516</v>
      </c>
      <c r="L304" s="14">
        <v>9.75E-3</v>
      </c>
      <c r="M304" s="12" t="s">
        <v>833</v>
      </c>
    </row>
    <row r="305" spans="7:13">
      <c r="G305" s="16" t="s">
        <v>933</v>
      </c>
      <c r="H305" s="4" t="s">
        <v>109</v>
      </c>
      <c r="I305" s="13">
        <v>137</v>
      </c>
      <c r="J305" s="2" t="s">
        <v>840</v>
      </c>
      <c r="K305" s="10">
        <v>44524</v>
      </c>
      <c r="L305" s="14">
        <v>1.5E-3</v>
      </c>
      <c r="M305" s="12" t="s">
        <v>849</v>
      </c>
    </row>
    <row r="306" spans="7:13">
      <c r="G306" s="16" t="s">
        <v>904</v>
      </c>
      <c r="H306" s="4" t="s">
        <v>89</v>
      </c>
      <c r="I306" s="13">
        <v>39</v>
      </c>
      <c r="J306" s="2" t="s">
        <v>848</v>
      </c>
      <c r="K306" s="10">
        <v>44524</v>
      </c>
      <c r="L306" s="14">
        <v>4.5000000000000005E-3</v>
      </c>
      <c r="M306" s="12" t="s">
        <v>849</v>
      </c>
    </row>
    <row r="307" spans="7:13">
      <c r="G307" s="16" t="s">
        <v>1139</v>
      </c>
      <c r="H307" s="4" t="s">
        <v>739</v>
      </c>
      <c r="I307" s="13">
        <v>39</v>
      </c>
      <c r="J307" s="2" t="s">
        <v>848</v>
      </c>
      <c r="K307" s="10">
        <v>44516</v>
      </c>
      <c r="L307" s="14">
        <v>4.45E-3</v>
      </c>
      <c r="M307" s="12" t="s">
        <v>870</v>
      </c>
    </row>
    <row r="308" spans="7:13">
      <c r="G308" s="16" t="s">
        <v>1120</v>
      </c>
      <c r="H308" s="4" t="s">
        <v>496</v>
      </c>
      <c r="I308" s="13">
        <v>53</v>
      </c>
      <c r="J308" s="2" t="s">
        <v>848</v>
      </c>
      <c r="K308" s="10">
        <v>44516</v>
      </c>
      <c r="L308" s="14">
        <v>4.45E-3</v>
      </c>
      <c r="M308" s="12" t="s">
        <v>870</v>
      </c>
    </row>
    <row r="309" spans="7:13">
      <c r="G309" s="16" t="s">
        <v>1230</v>
      </c>
      <c r="H309" s="4" t="s">
        <v>427</v>
      </c>
      <c r="I309" s="13">
        <v>60</v>
      </c>
      <c r="J309" s="2" t="s">
        <v>848</v>
      </c>
      <c r="K309" s="10">
        <v>44498</v>
      </c>
      <c r="L309" s="14">
        <v>1.5E-3</v>
      </c>
      <c r="M309" s="12" t="s">
        <v>844</v>
      </c>
    </row>
    <row r="310" spans="7:13">
      <c r="G310" s="16" t="s">
        <v>944</v>
      </c>
      <c r="H310" s="4" t="s">
        <v>76</v>
      </c>
      <c r="I310" s="13">
        <v>198</v>
      </c>
      <c r="J310" s="2" t="s">
        <v>848</v>
      </c>
      <c r="K310" s="10">
        <v>44498</v>
      </c>
      <c r="L310" s="14">
        <v>8.9999999999999998E-4</v>
      </c>
      <c r="M310" s="12" t="s">
        <v>828</v>
      </c>
    </row>
    <row r="311" spans="7:13">
      <c r="G311" s="16" t="s">
        <v>963</v>
      </c>
      <c r="H311" s="4" t="s">
        <v>333</v>
      </c>
      <c r="I311" s="13">
        <v>54</v>
      </c>
      <c r="J311" s="2" t="s">
        <v>848</v>
      </c>
      <c r="K311" s="10">
        <v>44498</v>
      </c>
      <c r="L311" s="14">
        <v>2.5000000000000001E-3</v>
      </c>
      <c r="M311" s="12" t="s">
        <v>849</v>
      </c>
    </row>
    <row r="312" spans="7:13">
      <c r="G312" s="16" t="s">
        <v>910</v>
      </c>
      <c r="H312" s="4" t="s">
        <v>446</v>
      </c>
      <c r="I312" s="13">
        <v>191</v>
      </c>
      <c r="J312" s="2" t="s">
        <v>848</v>
      </c>
      <c r="K312" s="10">
        <v>44498</v>
      </c>
      <c r="L312" s="14">
        <v>8.9999999999999998E-4</v>
      </c>
      <c r="M312" s="12" t="s">
        <v>831</v>
      </c>
    </row>
    <row r="313" spans="7:13">
      <c r="G313" s="16" t="s">
        <v>917</v>
      </c>
      <c r="H313" s="4" t="s">
        <v>670</v>
      </c>
      <c r="I313" s="13">
        <v>77</v>
      </c>
      <c r="J313" s="2" t="s">
        <v>848</v>
      </c>
      <c r="K313" s="10">
        <v>44498</v>
      </c>
      <c r="L313" s="14">
        <v>8.0000000000000002E-3</v>
      </c>
      <c r="M313" s="12" t="s">
        <v>866</v>
      </c>
    </row>
    <row r="314" spans="7:13">
      <c r="G314" s="16" t="s">
        <v>1671</v>
      </c>
      <c r="H314" s="4" t="s">
        <v>147</v>
      </c>
      <c r="I314" s="13">
        <v>65</v>
      </c>
      <c r="J314" s="2" t="s">
        <v>848</v>
      </c>
      <c r="K314" s="10">
        <v>44498</v>
      </c>
      <c r="L314" s="14">
        <v>3.0000000000000001E-3</v>
      </c>
      <c r="M314" s="12" t="s">
        <v>837</v>
      </c>
    </row>
    <row r="315" spans="7:13">
      <c r="G315" s="16" t="s">
        <v>1586</v>
      </c>
      <c r="H315" s="4" t="s">
        <v>171</v>
      </c>
      <c r="I315" s="13">
        <v>101</v>
      </c>
      <c r="J315" s="2" t="s">
        <v>840</v>
      </c>
      <c r="K315" s="10">
        <v>44482</v>
      </c>
      <c r="L315" s="14">
        <v>6.1999999999999998E-3</v>
      </c>
      <c r="M315" s="12" t="s">
        <v>873</v>
      </c>
    </row>
    <row r="316" spans="7:13">
      <c r="G316" s="16" t="s">
        <v>1361</v>
      </c>
      <c r="H316" s="4" t="s">
        <v>720</v>
      </c>
      <c r="I316" s="13">
        <v>1917</v>
      </c>
      <c r="J316" s="2" t="s">
        <v>843</v>
      </c>
      <c r="K316" s="10">
        <v>44490</v>
      </c>
      <c r="L316" s="14">
        <v>1E-4</v>
      </c>
      <c r="M316" s="12" t="s">
        <v>839</v>
      </c>
    </row>
    <row r="317" spans="7:13">
      <c r="G317" s="16" t="s">
        <v>1109</v>
      </c>
      <c r="H317" s="4" t="s">
        <v>778</v>
      </c>
      <c r="I317" s="13">
        <v>65</v>
      </c>
      <c r="J317" s="2" t="s">
        <v>840</v>
      </c>
      <c r="K317" s="10">
        <v>44469</v>
      </c>
      <c r="L317" s="14">
        <v>6.6000000000000008E-3</v>
      </c>
      <c r="M317" s="12" t="s">
        <v>859</v>
      </c>
    </row>
    <row r="318" spans="7:13">
      <c r="G318" s="16" t="s">
        <v>1420</v>
      </c>
      <c r="H318" s="4" t="s">
        <v>538</v>
      </c>
      <c r="I318" s="13">
        <v>67</v>
      </c>
      <c r="J318" s="2" t="s">
        <v>848</v>
      </c>
      <c r="K318" s="10">
        <v>44482</v>
      </c>
      <c r="L318" s="14">
        <v>4.5000000000000005E-3</v>
      </c>
      <c r="M318" s="12" t="s">
        <v>849</v>
      </c>
    </row>
    <row r="319" spans="7:13">
      <c r="G319" s="16" t="s">
        <v>938</v>
      </c>
      <c r="H319" s="4" t="s">
        <v>463</v>
      </c>
      <c r="I319" s="13">
        <v>136</v>
      </c>
      <c r="J319" s="2" t="s">
        <v>853</v>
      </c>
      <c r="K319" s="10">
        <v>44469</v>
      </c>
      <c r="L319" s="14">
        <v>5.0000000000000001E-3</v>
      </c>
      <c r="M319" s="12" t="s">
        <v>849</v>
      </c>
    </row>
    <row r="320" spans="7:13">
      <c r="G320" s="16" t="s">
        <v>899</v>
      </c>
      <c r="H320" s="4" t="s">
        <v>557</v>
      </c>
      <c r="I320" s="13">
        <v>1603</v>
      </c>
      <c r="J320" s="2" t="s">
        <v>848</v>
      </c>
      <c r="K320" s="10">
        <v>44482</v>
      </c>
      <c r="L320" s="14">
        <v>5.0000000000000001E-3</v>
      </c>
      <c r="M320" s="12" t="s">
        <v>831</v>
      </c>
    </row>
    <row r="321" spans="7:13">
      <c r="G321" s="16" t="s">
        <v>1164</v>
      </c>
      <c r="H321" s="4" t="s">
        <v>181</v>
      </c>
      <c r="I321" s="13">
        <v>1315</v>
      </c>
      <c r="J321" s="2" t="s">
        <v>848</v>
      </c>
      <c r="K321" s="10">
        <v>44482</v>
      </c>
      <c r="L321" s="14">
        <v>4.5000000000000005E-3</v>
      </c>
      <c r="M321" s="12" t="s">
        <v>837</v>
      </c>
    </row>
    <row r="322" spans="7:13">
      <c r="G322" s="16" t="s">
        <v>1571</v>
      </c>
      <c r="H322" s="4" t="s">
        <v>377</v>
      </c>
      <c r="I322" s="13">
        <v>1270</v>
      </c>
      <c r="J322" s="2" t="s">
        <v>848</v>
      </c>
      <c r="K322" s="10">
        <v>44482</v>
      </c>
      <c r="L322" s="14">
        <v>4.5000000000000005E-3</v>
      </c>
      <c r="M322" s="12" t="s">
        <v>828</v>
      </c>
    </row>
    <row r="323" spans="7:13">
      <c r="G323" s="16" t="s">
        <v>1161</v>
      </c>
      <c r="H323" s="4" t="s">
        <v>711</v>
      </c>
      <c r="I323" s="13">
        <v>181</v>
      </c>
      <c r="J323" s="2" t="s">
        <v>853</v>
      </c>
      <c r="K323" s="10">
        <v>44469</v>
      </c>
      <c r="L323" s="14">
        <v>5.5000000000000005E-3</v>
      </c>
      <c r="M323" s="12" t="s">
        <v>844</v>
      </c>
    </row>
    <row r="324" spans="7:13">
      <c r="G324" s="16" t="s">
        <v>989</v>
      </c>
      <c r="H324" s="4" t="s">
        <v>753</v>
      </c>
      <c r="I324" s="13">
        <v>83</v>
      </c>
      <c r="J324" s="2" t="s">
        <v>853</v>
      </c>
      <c r="K324" s="10">
        <v>44469</v>
      </c>
      <c r="L324" s="14">
        <v>5.5000000000000005E-3</v>
      </c>
      <c r="M324" s="12" t="s">
        <v>844</v>
      </c>
    </row>
    <row r="325" spans="7:13">
      <c r="G325" s="16" t="s">
        <v>1452</v>
      </c>
      <c r="H325" s="4" t="s">
        <v>577</v>
      </c>
      <c r="I325" s="13">
        <v>418</v>
      </c>
      <c r="J325" s="2" t="s">
        <v>853</v>
      </c>
      <c r="K325" s="10">
        <v>44469</v>
      </c>
      <c r="L325" s="14">
        <v>6.4000000000000003E-3</v>
      </c>
      <c r="M325" s="12" t="s">
        <v>831</v>
      </c>
    </row>
    <row r="326" spans="7:13">
      <c r="G326" s="16" t="s">
        <v>1189</v>
      </c>
      <c r="H326" s="4" t="s">
        <v>142</v>
      </c>
      <c r="I326" s="13">
        <v>96</v>
      </c>
      <c r="J326" s="2" t="s">
        <v>853</v>
      </c>
      <c r="K326" s="10">
        <v>44490</v>
      </c>
      <c r="L326" s="14">
        <v>4.0000000000000001E-3</v>
      </c>
      <c r="M326" s="12" t="s">
        <v>837</v>
      </c>
    </row>
    <row r="327" spans="7:13">
      <c r="G327" s="16" t="s">
        <v>1444</v>
      </c>
      <c r="H327" s="4" t="s">
        <v>123</v>
      </c>
      <c r="I327" s="13">
        <v>242</v>
      </c>
      <c r="J327" s="2" t="s">
        <v>843</v>
      </c>
      <c r="K327" s="10">
        <v>44453</v>
      </c>
      <c r="L327" s="14">
        <v>1.5E-3</v>
      </c>
      <c r="M327" s="12" t="s">
        <v>844</v>
      </c>
    </row>
    <row r="328" spans="7:13">
      <c r="G328" s="16" t="s">
        <v>1075</v>
      </c>
      <c r="H328" s="4" t="s">
        <v>185</v>
      </c>
      <c r="I328" s="13">
        <v>33</v>
      </c>
      <c r="J328" s="2" t="s">
        <v>835</v>
      </c>
      <c r="K328" s="10">
        <v>44439</v>
      </c>
      <c r="L328" s="14">
        <v>7.000000000000001E-4</v>
      </c>
      <c r="M328" s="12" t="s">
        <v>837</v>
      </c>
    </row>
    <row r="329" spans="7:13">
      <c r="G329" s="16" t="s">
        <v>1339</v>
      </c>
      <c r="H329" s="4" t="s">
        <v>151</v>
      </c>
      <c r="I329" s="13">
        <v>307</v>
      </c>
      <c r="J329" s="2" t="s">
        <v>835</v>
      </c>
      <c r="K329" s="10">
        <v>44439</v>
      </c>
      <c r="L329" s="14">
        <v>7.000000000000001E-4</v>
      </c>
      <c r="M329" s="12" t="s">
        <v>837</v>
      </c>
    </row>
    <row r="330" spans="7:13">
      <c r="G330" s="16" t="s">
        <v>1680</v>
      </c>
      <c r="H330" s="4" t="s">
        <v>560</v>
      </c>
      <c r="I330" s="13">
        <v>169</v>
      </c>
      <c r="J330" s="2" t="s">
        <v>853</v>
      </c>
      <c r="K330" s="10">
        <v>44418</v>
      </c>
      <c r="L330" s="14">
        <v>4.8999999999999998E-3</v>
      </c>
      <c r="M330" s="12" t="s">
        <v>828</v>
      </c>
    </row>
    <row r="331" spans="7:13">
      <c r="G331" s="16" t="s">
        <v>1086</v>
      </c>
      <c r="H331" s="4" t="s">
        <v>468</v>
      </c>
      <c r="I331" s="13">
        <v>189</v>
      </c>
      <c r="J331" s="2" t="s">
        <v>853</v>
      </c>
      <c r="K331" s="10">
        <v>44418</v>
      </c>
      <c r="L331" s="14">
        <v>4.8999999999999998E-3</v>
      </c>
      <c r="M331" s="12" t="s">
        <v>828</v>
      </c>
    </row>
    <row r="332" spans="7:13">
      <c r="G332" s="16" t="s">
        <v>1107</v>
      </c>
      <c r="H332" s="4" t="s">
        <v>33</v>
      </c>
      <c r="I332" s="13">
        <v>5649</v>
      </c>
      <c r="J332" s="2" t="s">
        <v>848</v>
      </c>
      <c r="K332" s="10">
        <v>44418</v>
      </c>
      <c r="L332" s="14">
        <v>4.5000000000000005E-3</v>
      </c>
      <c r="M332" s="12" t="s">
        <v>828</v>
      </c>
    </row>
    <row r="333" spans="7:13">
      <c r="G333" s="16" t="s">
        <v>936</v>
      </c>
      <c r="H333" s="4" t="s">
        <v>51</v>
      </c>
      <c r="I333" s="13">
        <v>171</v>
      </c>
      <c r="J333" s="2" t="s">
        <v>848</v>
      </c>
      <c r="K333" s="10">
        <v>44407</v>
      </c>
      <c r="L333" s="14">
        <v>1.0499999999999999E-3</v>
      </c>
      <c r="M333" s="12" t="s">
        <v>842</v>
      </c>
    </row>
    <row r="334" spans="7:13">
      <c r="G334" s="16" t="s">
        <v>1559</v>
      </c>
      <c r="H334" s="4" t="s">
        <v>225</v>
      </c>
      <c r="I334" s="13">
        <v>356</v>
      </c>
      <c r="J334" s="2" t="s">
        <v>848</v>
      </c>
      <c r="K334" s="10">
        <v>44407</v>
      </c>
      <c r="L334" s="14">
        <v>1.0499999999999999E-3</v>
      </c>
      <c r="M334" s="12" t="s">
        <v>842</v>
      </c>
    </row>
    <row r="335" spans="7:13">
      <c r="G335" s="16" t="s">
        <v>1112</v>
      </c>
      <c r="H335" s="4" t="s">
        <v>390</v>
      </c>
      <c r="I335" s="13">
        <v>760</v>
      </c>
      <c r="J335" s="2" t="s">
        <v>848</v>
      </c>
      <c r="K335" s="10">
        <v>44407</v>
      </c>
      <c r="L335" s="14">
        <v>4.5000000000000005E-3</v>
      </c>
      <c r="M335" s="12" t="s">
        <v>849</v>
      </c>
    </row>
    <row r="336" spans="7:13">
      <c r="G336" s="16" t="s">
        <v>1244</v>
      </c>
      <c r="H336" s="4" t="s">
        <v>489</v>
      </c>
      <c r="I336" s="13">
        <v>136</v>
      </c>
      <c r="J336" s="2" t="s">
        <v>848</v>
      </c>
      <c r="K336" s="10">
        <v>44407</v>
      </c>
      <c r="L336" s="14">
        <v>4.5000000000000005E-3</v>
      </c>
      <c r="M336" s="12" t="s">
        <v>849</v>
      </c>
    </row>
    <row r="337" spans="7:13">
      <c r="G337" s="16" t="s">
        <v>942</v>
      </c>
      <c r="H337" s="4" t="s">
        <v>438</v>
      </c>
      <c r="I337" s="13">
        <v>989</v>
      </c>
      <c r="J337" s="2" t="s">
        <v>848</v>
      </c>
      <c r="K337" s="10">
        <v>44407</v>
      </c>
      <c r="L337" s="14">
        <v>4.5000000000000005E-3</v>
      </c>
      <c r="M337" s="12" t="s">
        <v>849</v>
      </c>
    </row>
    <row r="338" spans="7:13">
      <c r="G338" s="16" t="s">
        <v>1122</v>
      </c>
      <c r="H338" s="4" t="s">
        <v>233</v>
      </c>
      <c r="I338" s="13">
        <v>4450</v>
      </c>
      <c r="J338" s="2" t="s">
        <v>848</v>
      </c>
      <c r="K338" s="10">
        <v>44407</v>
      </c>
      <c r="L338" s="14">
        <v>1.5E-3</v>
      </c>
      <c r="M338" s="12" t="s">
        <v>831</v>
      </c>
    </row>
    <row r="339" spans="7:13">
      <c r="G339" s="16" t="s">
        <v>1154</v>
      </c>
      <c r="H339" s="4" t="s">
        <v>687</v>
      </c>
      <c r="I339" s="13">
        <v>486</v>
      </c>
      <c r="J339" s="2" t="s">
        <v>848</v>
      </c>
      <c r="K339" s="10">
        <v>44407</v>
      </c>
      <c r="L339" s="14">
        <v>4.5000000000000005E-3</v>
      </c>
      <c r="M339" s="12" t="s">
        <v>831</v>
      </c>
    </row>
    <row r="340" spans="7:13">
      <c r="G340" s="16" t="s">
        <v>1026</v>
      </c>
      <c r="H340" s="4" t="s">
        <v>268</v>
      </c>
      <c r="I340" s="13">
        <v>232</v>
      </c>
      <c r="J340" s="2" t="s">
        <v>848</v>
      </c>
      <c r="K340" s="10">
        <v>44407</v>
      </c>
      <c r="L340" s="14">
        <v>4.5000000000000005E-3</v>
      </c>
      <c r="M340" s="12" t="s">
        <v>831</v>
      </c>
    </row>
    <row r="341" spans="7:13">
      <c r="G341" s="16" t="s">
        <v>1031</v>
      </c>
      <c r="H341" s="4" t="s">
        <v>137</v>
      </c>
      <c r="I341" s="13">
        <v>3434</v>
      </c>
      <c r="J341" s="2" t="s">
        <v>854</v>
      </c>
      <c r="K341" s="10">
        <v>44397</v>
      </c>
      <c r="L341" s="14">
        <v>4.8999999999999998E-3</v>
      </c>
      <c r="M341" s="12" t="s">
        <v>828</v>
      </c>
    </row>
    <row r="342" spans="7:13">
      <c r="G342" s="16" t="s">
        <v>1488</v>
      </c>
      <c r="H342" s="4" t="s">
        <v>282</v>
      </c>
      <c r="I342" s="13">
        <v>3493</v>
      </c>
      <c r="J342" s="2" t="s">
        <v>854</v>
      </c>
      <c r="K342" s="10">
        <v>44397</v>
      </c>
      <c r="L342" s="14">
        <v>4.8999999999999998E-3</v>
      </c>
      <c r="M342" s="12" t="s">
        <v>828</v>
      </c>
    </row>
    <row r="343" spans="7:13">
      <c r="G343" s="16" t="s">
        <v>1035</v>
      </c>
      <c r="H343" s="4" t="s">
        <v>815</v>
      </c>
      <c r="I343" s="13">
        <v>309</v>
      </c>
      <c r="J343" s="2" t="s">
        <v>853</v>
      </c>
      <c r="K343" s="10">
        <v>44397</v>
      </c>
      <c r="L343" s="14">
        <v>3.0999999999999999E-3</v>
      </c>
      <c r="M343" s="12" t="s">
        <v>855</v>
      </c>
    </row>
    <row r="344" spans="7:13">
      <c r="G344" s="16" t="s">
        <v>979</v>
      </c>
      <c r="H344" s="4" t="s">
        <v>817</v>
      </c>
      <c r="I344" s="13">
        <v>53</v>
      </c>
      <c r="J344" s="2" t="s">
        <v>853</v>
      </c>
      <c r="K344" s="10">
        <v>44397</v>
      </c>
      <c r="L344" s="14">
        <v>3.0999999999999999E-3</v>
      </c>
      <c r="M344" s="12" t="s">
        <v>855</v>
      </c>
    </row>
    <row r="345" spans="7:13">
      <c r="G345" s="16" t="s">
        <v>1682</v>
      </c>
      <c r="H345" s="4" t="s">
        <v>178</v>
      </c>
      <c r="I345" s="13">
        <v>45</v>
      </c>
      <c r="J345" s="2" t="s">
        <v>840</v>
      </c>
      <c r="K345" s="10">
        <v>44383</v>
      </c>
      <c r="L345" s="14">
        <v>3.0000000000000001E-3</v>
      </c>
      <c r="M345" s="12" t="s">
        <v>860</v>
      </c>
    </row>
    <row r="346" spans="7:13">
      <c r="G346" s="16" t="s">
        <v>1077</v>
      </c>
      <c r="H346" s="4" t="s">
        <v>500</v>
      </c>
      <c r="I346" s="13">
        <v>61</v>
      </c>
      <c r="J346" s="2" t="s">
        <v>840</v>
      </c>
      <c r="K346" s="10">
        <v>44383</v>
      </c>
      <c r="L346" s="14">
        <v>3.0000000000000001E-3</v>
      </c>
      <c r="M346" s="12" t="s">
        <v>860</v>
      </c>
    </row>
    <row r="347" spans="7:13">
      <c r="G347" s="16" t="s">
        <v>1282</v>
      </c>
      <c r="H347" s="4" t="s">
        <v>685</v>
      </c>
      <c r="I347" s="13">
        <v>258</v>
      </c>
      <c r="J347" s="2" t="s">
        <v>853</v>
      </c>
      <c r="K347" s="10">
        <v>44413</v>
      </c>
      <c r="L347" s="14">
        <v>6.9999999999999993E-3</v>
      </c>
      <c r="M347" s="12" t="s">
        <v>839</v>
      </c>
    </row>
    <row r="348" spans="7:13">
      <c r="G348" s="16" t="s">
        <v>1047</v>
      </c>
      <c r="H348" s="4" t="s">
        <v>703</v>
      </c>
      <c r="I348" s="13">
        <v>26</v>
      </c>
      <c r="J348" s="2" t="s">
        <v>853</v>
      </c>
      <c r="K348" s="10">
        <v>44413</v>
      </c>
      <c r="L348" s="14">
        <v>6.9999999999999993E-3</v>
      </c>
      <c r="M348" s="12" t="s">
        <v>839</v>
      </c>
    </row>
    <row r="349" spans="7:13">
      <c r="G349" s="16" t="s">
        <v>1618</v>
      </c>
      <c r="H349" s="4" t="s">
        <v>154</v>
      </c>
      <c r="I349" s="13">
        <v>128</v>
      </c>
      <c r="J349" s="2" t="s">
        <v>835</v>
      </c>
      <c r="K349" s="10">
        <v>44372</v>
      </c>
      <c r="L349" s="14">
        <v>1E-3</v>
      </c>
      <c r="M349" s="12" t="s">
        <v>849</v>
      </c>
    </row>
    <row r="350" spans="7:13">
      <c r="G350" s="16" t="s">
        <v>1051</v>
      </c>
      <c r="H350" s="4" t="s">
        <v>294</v>
      </c>
      <c r="I350" s="13">
        <v>93</v>
      </c>
      <c r="J350" s="2" t="s">
        <v>853</v>
      </c>
      <c r="K350" s="10">
        <v>44377</v>
      </c>
      <c r="L350" s="14">
        <v>8.9999999999999998E-4</v>
      </c>
      <c r="M350" s="12" t="s">
        <v>831</v>
      </c>
    </row>
    <row r="351" spans="7:13">
      <c r="G351" s="16" t="s">
        <v>1481</v>
      </c>
      <c r="H351" s="4" t="s">
        <v>376</v>
      </c>
      <c r="I351" s="13">
        <v>1200</v>
      </c>
      <c r="J351" s="2" t="s">
        <v>853</v>
      </c>
      <c r="K351" s="10">
        <v>44377</v>
      </c>
      <c r="L351" s="14">
        <v>8.9999999999999998E-4</v>
      </c>
      <c r="M351" s="12" t="s">
        <v>831</v>
      </c>
    </row>
    <row r="352" spans="7:13">
      <c r="G352" s="16" t="s">
        <v>1102</v>
      </c>
      <c r="H352" s="4" t="s">
        <v>32</v>
      </c>
      <c r="I352" s="13">
        <v>2972</v>
      </c>
      <c r="J352" s="2" t="s">
        <v>848</v>
      </c>
      <c r="K352" s="10">
        <v>44357</v>
      </c>
      <c r="L352" s="14">
        <v>5.0000000000000001E-3</v>
      </c>
      <c r="M352" s="12" t="s">
        <v>837</v>
      </c>
    </row>
    <row r="353" spans="7:13">
      <c r="G353" s="16" t="s">
        <v>1318</v>
      </c>
      <c r="H353" s="4" t="s">
        <v>433</v>
      </c>
      <c r="I353" s="13">
        <v>443</v>
      </c>
      <c r="J353" s="2" t="s">
        <v>848</v>
      </c>
      <c r="K353" s="10">
        <v>44357</v>
      </c>
      <c r="L353" s="14">
        <v>4.5000000000000005E-3</v>
      </c>
      <c r="M353" s="12" t="s">
        <v>837</v>
      </c>
    </row>
    <row r="354" spans="7:13">
      <c r="G354" s="16" t="s">
        <v>1108</v>
      </c>
      <c r="H354" s="4" t="s">
        <v>636</v>
      </c>
      <c r="I354" s="13">
        <v>267</v>
      </c>
      <c r="J354" s="2" t="s">
        <v>845</v>
      </c>
      <c r="K354" s="10">
        <v>44341</v>
      </c>
      <c r="L354" s="14">
        <v>7.7000000000000002E-3</v>
      </c>
      <c r="M354" s="12" t="s">
        <v>828</v>
      </c>
    </row>
    <row r="355" spans="7:13">
      <c r="G355" s="16" t="s">
        <v>1461</v>
      </c>
      <c r="H355" s="4" t="s">
        <v>97</v>
      </c>
      <c r="I355" s="13">
        <v>410</v>
      </c>
      <c r="J355" s="2" t="s">
        <v>832</v>
      </c>
      <c r="K355" s="10">
        <v>44341</v>
      </c>
      <c r="L355" s="14">
        <v>5.5000000000000005E-3</v>
      </c>
      <c r="M355" s="12" t="s">
        <v>828</v>
      </c>
    </row>
    <row r="356" spans="7:13">
      <c r="G356" s="16" t="s">
        <v>1321</v>
      </c>
      <c r="H356" s="4" t="s">
        <v>249</v>
      </c>
      <c r="I356" s="13">
        <v>451</v>
      </c>
      <c r="J356" s="2" t="s">
        <v>840</v>
      </c>
      <c r="K356" s="10">
        <v>44341</v>
      </c>
      <c r="L356" s="14">
        <v>8.0000000000000002E-3</v>
      </c>
      <c r="M356" s="12" t="s">
        <v>866</v>
      </c>
    </row>
    <row r="357" spans="7:13">
      <c r="G357" s="16" t="s">
        <v>1390</v>
      </c>
      <c r="H357" s="4" t="s">
        <v>710</v>
      </c>
      <c r="I357" s="13">
        <v>103</v>
      </c>
      <c r="J357" s="2" t="s">
        <v>845</v>
      </c>
      <c r="K357" s="10">
        <v>44341</v>
      </c>
      <c r="L357" s="14">
        <v>8.0000000000000002E-3</v>
      </c>
      <c r="M357" s="12" t="s">
        <v>866</v>
      </c>
    </row>
    <row r="358" spans="7:13">
      <c r="G358" s="16" t="s">
        <v>1252</v>
      </c>
      <c r="H358" s="4" t="s">
        <v>444</v>
      </c>
      <c r="I358" s="13">
        <v>224</v>
      </c>
      <c r="J358" s="2" t="s">
        <v>845</v>
      </c>
      <c r="K358" s="10">
        <v>44341</v>
      </c>
      <c r="L358" s="14">
        <v>2.8999999999999998E-3</v>
      </c>
      <c r="M358" s="12" t="s">
        <v>839</v>
      </c>
    </row>
    <row r="359" spans="7:13">
      <c r="G359" s="16" t="s">
        <v>1473</v>
      </c>
      <c r="H359" s="4" t="s">
        <v>228</v>
      </c>
      <c r="I359" s="13">
        <v>245</v>
      </c>
      <c r="J359" s="2" t="s">
        <v>838</v>
      </c>
      <c r="K359" s="10">
        <v>44341</v>
      </c>
      <c r="L359" s="14">
        <v>5.0000000000000001E-3</v>
      </c>
      <c r="M359" s="12" t="s">
        <v>839</v>
      </c>
    </row>
    <row r="360" spans="7:13">
      <c r="G360" s="16" t="s">
        <v>1273</v>
      </c>
      <c r="H360" s="4" t="s">
        <v>761</v>
      </c>
      <c r="I360" s="13">
        <v>3907</v>
      </c>
      <c r="J360" s="2" t="s">
        <v>835</v>
      </c>
      <c r="K360" s="10">
        <v>44342</v>
      </c>
      <c r="L360" s="14">
        <v>5.0000000000000001E-4</v>
      </c>
      <c r="M360" s="12" t="s">
        <v>837</v>
      </c>
    </row>
    <row r="361" spans="7:13">
      <c r="G361" s="16" t="s">
        <v>970</v>
      </c>
      <c r="H361" s="4" t="s">
        <v>506</v>
      </c>
      <c r="I361" s="13">
        <v>1996</v>
      </c>
      <c r="J361" s="2" t="s">
        <v>835</v>
      </c>
      <c r="K361" s="10">
        <v>44342</v>
      </c>
      <c r="L361" s="14">
        <v>5.0000000000000001E-4</v>
      </c>
      <c r="M361" s="12" t="s">
        <v>837</v>
      </c>
    </row>
    <row r="362" spans="7:13">
      <c r="G362" s="16" t="s">
        <v>1555</v>
      </c>
      <c r="H362" s="4" t="s">
        <v>733</v>
      </c>
      <c r="I362" s="13">
        <v>11316</v>
      </c>
      <c r="J362" s="2" t="s">
        <v>835</v>
      </c>
      <c r="K362" s="10">
        <v>44342</v>
      </c>
      <c r="L362" s="14">
        <v>1.2E-4</v>
      </c>
      <c r="M362" s="12" t="s">
        <v>837</v>
      </c>
    </row>
    <row r="363" spans="7:13">
      <c r="G363" s="16" t="s">
        <v>908</v>
      </c>
      <c r="H363" s="4" t="s">
        <v>343</v>
      </c>
      <c r="I363" s="13">
        <v>272</v>
      </c>
      <c r="J363" s="2" t="s">
        <v>845</v>
      </c>
      <c r="K363" s="10">
        <v>44341</v>
      </c>
      <c r="L363" s="14">
        <v>5.0000000000000001E-3</v>
      </c>
      <c r="M363" s="12" t="s">
        <v>831</v>
      </c>
    </row>
    <row r="364" spans="7:13">
      <c r="G364" s="16" t="s">
        <v>1548</v>
      </c>
      <c r="H364" s="4" t="s">
        <v>120</v>
      </c>
      <c r="I364" s="13">
        <v>439</v>
      </c>
      <c r="J364" s="2" t="s">
        <v>845</v>
      </c>
      <c r="K364" s="10">
        <v>44341</v>
      </c>
      <c r="L364" s="14">
        <v>5.0000000000000001E-3</v>
      </c>
      <c r="M364" s="12" t="s">
        <v>831</v>
      </c>
    </row>
    <row r="365" spans="7:13">
      <c r="G365" s="16" t="s">
        <v>912</v>
      </c>
      <c r="H365" s="4" t="s">
        <v>134</v>
      </c>
      <c r="I365" s="13">
        <v>48</v>
      </c>
      <c r="J365" s="2" t="s">
        <v>845</v>
      </c>
      <c r="K365" s="10">
        <v>44288</v>
      </c>
      <c r="L365" s="14">
        <v>4.5000000000000005E-3</v>
      </c>
      <c r="M365" s="12" t="s">
        <v>849</v>
      </c>
    </row>
    <row r="366" spans="7:13">
      <c r="G366" s="16" t="s">
        <v>1551</v>
      </c>
      <c r="H366" s="4" t="s">
        <v>507</v>
      </c>
      <c r="I366" s="13">
        <v>189</v>
      </c>
      <c r="J366" s="2" t="s">
        <v>845</v>
      </c>
      <c r="K366" s="10">
        <v>44288</v>
      </c>
      <c r="L366" s="14">
        <v>4.5000000000000005E-3</v>
      </c>
      <c r="M366" s="12" t="s">
        <v>849</v>
      </c>
    </row>
    <row r="367" spans="7:13">
      <c r="G367" s="16" t="s">
        <v>1540</v>
      </c>
      <c r="H367" s="4" t="s">
        <v>281</v>
      </c>
      <c r="I367" s="13">
        <v>16325</v>
      </c>
      <c r="J367" s="2" t="s">
        <v>853</v>
      </c>
      <c r="K367" s="10">
        <v>44295</v>
      </c>
      <c r="L367" s="14">
        <v>4.8999999999999998E-3</v>
      </c>
      <c r="M367" s="12" t="s">
        <v>828</v>
      </c>
    </row>
    <row r="368" spans="7:13">
      <c r="G368" s="16" t="s">
        <v>1492</v>
      </c>
      <c r="H368" s="4" t="s">
        <v>570</v>
      </c>
      <c r="I368" s="13">
        <v>16373</v>
      </c>
      <c r="J368" s="2" t="s">
        <v>832</v>
      </c>
      <c r="K368" s="10">
        <v>44295</v>
      </c>
      <c r="L368" s="14">
        <v>4.8999999999999998E-3</v>
      </c>
      <c r="M368" s="12" t="s">
        <v>828</v>
      </c>
    </row>
    <row r="369" spans="7:13">
      <c r="G369" s="16" t="s">
        <v>1626</v>
      </c>
      <c r="H369" s="4" t="s">
        <v>698</v>
      </c>
      <c r="I369" s="13">
        <v>68</v>
      </c>
      <c r="J369" s="2" t="s">
        <v>845</v>
      </c>
      <c r="K369" s="10">
        <v>44288</v>
      </c>
      <c r="L369" s="14">
        <v>3.4999999999999996E-3</v>
      </c>
      <c r="M369" s="12" t="s">
        <v>839</v>
      </c>
    </row>
    <row r="370" spans="7:13">
      <c r="G370" s="16" t="s">
        <v>1421</v>
      </c>
      <c r="H370" s="4" t="s">
        <v>682</v>
      </c>
      <c r="I370" s="13">
        <v>5911</v>
      </c>
      <c r="J370" s="2" t="s">
        <v>832</v>
      </c>
      <c r="K370" s="10">
        <v>44295</v>
      </c>
      <c r="L370" s="14">
        <v>5.0000000000000001E-4</v>
      </c>
      <c r="M370" s="12" t="s">
        <v>831</v>
      </c>
    </row>
    <row r="371" spans="7:13">
      <c r="G371" s="16" t="s">
        <v>877</v>
      </c>
      <c r="H371" s="4" t="s">
        <v>546</v>
      </c>
      <c r="I371" s="13">
        <v>6772</v>
      </c>
      <c r="J371" s="2" t="s">
        <v>832</v>
      </c>
      <c r="K371" s="10">
        <v>44295</v>
      </c>
      <c r="L371" s="14">
        <v>5.0000000000000001E-4</v>
      </c>
      <c r="M371" s="12" t="s">
        <v>831</v>
      </c>
    </row>
    <row r="372" spans="7:13">
      <c r="G372" s="16" t="s">
        <v>1498</v>
      </c>
      <c r="H372" s="4" t="s">
        <v>449</v>
      </c>
      <c r="I372" s="13">
        <v>68</v>
      </c>
      <c r="J372" s="2" t="s">
        <v>832</v>
      </c>
      <c r="K372" s="10">
        <v>44295</v>
      </c>
      <c r="L372" s="14">
        <v>2.1000000000000001E-4</v>
      </c>
      <c r="M372" s="12" t="s">
        <v>837</v>
      </c>
    </row>
    <row r="373" spans="7:13">
      <c r="G373" s="16" t="s">
        <v>1459</v>
      </c>
      <c r="H373" s="4" t="s">
        <v>317</v>
      </c>
      <c r="I373" s="13">
        <v>2477</v>
      </c>
      <c r="J373" s="2" t="s">
        <v>832</v>
      </c>
      <c r="K373" s="10">
        <v>44295</v>
      </c>
      <c r="L373" s="14">
        <v>2.1000000000000001E-4</v>
      </c>
      <c r="M373" s="12" t="s">
        <v>837</v>
      </c>
    </row>
    <row r="374" spans="7:13">
      <c r="G374" s="16" t="s">
        <v>1014</v>
      </c>
      <c r="H374" s="4" t="s">
        <v>127</v>
      </c>
      <c r="I374" s="13">
        <v>191</v>
      </c>
      <c r="J374" s="2" t="s">
        <v>848</v>
      </c>
      <c r="K374" s="10">
        <v>44260</v>
      </c>
      <c r="L374" s="14">
        <v>5.0000000000000001E-3</v>
      </c>
      <c r="M374" s="12" t="s">
        <v>828</v>
      </c>
    </row>
    <row r="375" spans="7:13">
      <c r="G375" s="16" t="s">
        <v>886</v>
      </c>
      <c r="H375" s="4" t="s">
        <v>651</v>
      </c>
      <c r="I375" s="13">
        <v>162</v>
      </c>
      <c r="J375" s="2" t="s">
        <v>848</v>
      </c>
      <c r="K375" s="10">
        <v>44232</v>
      </c>
      <c r="L375" s="14">
        <v>8.9999999999999998E-4</v>
      </c>
      <c r="M375" s="12" t="s">
        <v>828</v>
      </c>
    </row>
    <row r="376" spans="7:13">
      <c r="G376" s="16" t="s">
        <v>1279</v>
      </c>
      <c r="H376" s="4" t="s">
        <v>316</v>
      </c>
      <c r="I376" s="13">
        <v>268</v>
      </c>
      <c r="J376" s="2" t="s">
        <v>848</v>
      </c>
      <c r="K376" s="10">
        <v>44232</v>
      </c>
      <c r="L376" s="14">
        <v>8.9999999999999998E-4</v>
      </c>
      <c r="M376" s="12" t="s">
        <v>831</v>
      </c>
    </row>
    <row r="377" spans="7:13">
      <c r="G377" s="16" t="s">
        <v>1663</v>
      </c>
      <c r="H377" s="4" t="s">
        <v>574</v>
      </c>
      <c r="I377" s="13">
        <v>102</v>
      </c>
      <c r="J377" s="2" t="s">
        <v>848</v>
      </c>
      <c r="K377" s="10">
        <v>44232</v>
      </c>
      <c r="L377" s="14">
        <v>2E-3</v>
      </c>
      <c r="M377" s="12" t="s">
        <v>849</v>
      </c>
    </row>
    <row r="378" spans="7:13">
      <c r="G378" s="16" t="s">
        <v>1558</v>
      </c>
      <c r="H378" s="4" t="s">
        <v>70</v>
      </c>
      <c r="I378" s="13">
        <v>54</v>
      </c>
      <c r="J378" s="2" t="s">
        <v>862</v>
      </c>
      <c r="K378" s="10">
        <v>44210</v>
      </c>
      <c r="L378" s="14">
        <v>4.0000000000000001E-3</v>
      </c>
      <c r="M378" s="12" t="s">
        <v>837</v>
      </c>
    </row>
    <row r="379" spans="7:13">
      <c r="G379" s="16" t="s">
        <v>1241</v>
      </c>
      <c r="H379" s="4" t="s">
        <v>168</v>
      </c>
      <c r="I379" s="13">
        <v>77</v>
      </c>
      <c r="J379" s="2" t="s">
        <v>843</v>
      </c>
      <c r="K379" s="10">
        <v>44189</v>
      </c>
      <c r="L379" s="14">
        <v>4.0000000000000001E-3</v>
      </c>
      <c r="M379" s="12" t="s">
        <v>855</v>
      </c>
    </row>
    <row r="380" spans="7:13">
      <c r="G380" s="16" t="s">
        <v>1085</v>
      </c>
      <c r="H380" s="4" t="s">
        <v>777</v>
      </c>
      <c r="I380" s="13">
        <v>61</v>
      </c>
      <c r="J380" s="2" t="s">
        <v>854</v>
      </c>
      <c r="K380" s="10">
        <v>44181</v>
      </c>
      <c r="L380" s="14">
        <v>5.0000000000000001E-3</v>
      </c>
      <c r="M380" s="12" t="s">
        <v>842</v>
      </c>
    </row>
    <row r="381" spans="7:13">
      <c r="G381" s="16" t="s">
        <v>1343</v>
      </c>
      <c r="H381" s="4" t="s">
        <v>541</v>
      </c>
      <c r="I381" s="13">
        <v>58</v>
      </c>
      <c r="J381" s="2" t="s">
        <v>838</v>
      </c>
      <c r="K381" s="10">
        <v>44189</v>
      </c>
      <c r="L381" s="14">
        <v>5.0000000000000001E-3</v>
      </c>
      <c r="M381" s="12" t="s">
        <v>831</v>
      </c>
    </row>
    <row r="382" spans="7:13">
      <c r="G382" s="16" t="s">
        <v>1266</v>
      </c>
      <c r="H382" s="4" t="s">
        <v>204</v>
      </c>
      <c r="I382" s="13">
        <v>1714</v>
      </c>
      <c r="J382" s="2" t="s">
        <v>853</v>
      </c>
      <c r="K382" s="10">
        <v>44181</v>
      </c>
      <c r="L382" s="14">
        <v>1.1999999999999999E-3</v>
      </c>
      <c r="M382" s="12" t="s">
        <v>831</v>
      </c>
    </row>
    <row r="383" spans="7:13">
      <c r="G383" s="16" t="s">
        <v>1359</v>
      </c>
      <c r="H383" s="4" t="s">
        <v>356</v>
      </c>
      <c r="I383" s="13">
        <v>42</v>
      </c>
      <c r="J383" s="2" t="s">
        <v>853</v>
      </c>
      <c r="K383" s="10">
        <v>44181</v>
      </c>
      <c r="L383" s="14">
        <v>2.5000000000000001E-3</v>
      </c>
      <c r="M383" s="12" t="s">
        <v>839</v>
      </c>
    </row>
    <row r="384" spans="7:13">
      <c r="G384" s="16" t="s">
        <v>921</v>
      </c>
      <c r="H384" s="4" t="s">
        <v>328</v>
      </c>
      <c r="I384" s="13">
        <v>419</v>
      </c>
      <c r="J384" s="2" t="s">
        <v>853</v>
      </c>
      <c r="K384" s="10">
        <v>44173</v>
      </c>
      <c r="L384" s="14">
        <v>4.8999999999999998E-3</v>
      </c>
      <c r="M384" s="12" t="s">
        <v>828</v>
      </c>
    </row>
    <row r="385" spans="7:13">
      <c r="G385" s="16" t="s">
        <v>1219</v>
      </c>
      <c r="H385" s="4" t="s">
        <v>779</v>
      </c>
      <c r="I385" s="13">
        <v>18892</v>
      </c>
      <c r="J385" s="2" t="s">
        <v>853</v>
      </c>
      <c r="K385" s="10">
        <v>44173</v>
      </c>
      <c r="L385" s="14">
        <v>4.8999999999999998E-3</v>
      </c>
      <c r="M385" s="12" t="s">
        <v>828</v>
      </c>
    </row>
    <row r="386" spans="7:13">
      <c r="G386" s="16" t="s">
        <v>1523</v>
      </c>
      <c r="H386" s="4" t="s">
        <v>75</v>
      </c>
      <c r="I386" s="13">
        <v>487</v>
      </c>
      <c r="J386" s="2" t="s">
        <v>853</v>
      </c>
      <c r="K386" s="10">
        <v>44173</v>
      </c>
      <c r="L386" s="14">
        <v>4.8999999999999998E-3</v>
      </c>
      <c r="M386" s="12" t="s">
        <v>828</v>
      </c>
    </row>
    <row r="387" spans="7:13">
      <c r="G387" s="16" t="s">
        <v>1385</v>
      </c>
      <c r="H387" s="4" t="s">
        <v>472</v>
      </c>
      <c r="I387" s="13">
        <v>5470</v>
      </c>
      <c r="J387" s="2" t="s">
        <v>853</v>
      </c>
      <c r="K387" s="10">
        <v>44181</v>
      </c>
      <c r="L387" s="14">
        <v>8.9999999999999998E-4</v>
      </c>
      <c r="M387" s="12" t="s">
        <v>828</v>
      </c>
    </row>
    <row r="388" spans="7:13">
      <c r="G388" s="16" t="s">
        <v>1487</v>
      </c>
      <c r="H388" s="4" t="s">
        <v>387</v>
      </c>
      <c r="I388" s="13">
        <v>56</v>
      </c>
      <c r="J388" s="2" t="s">
        <v>853</v>
      </c>
      <c r="K388" s="10">
        <v>44181</v>
      </c>
      <c r="L388" s="14">
        <v>1.4000000000000002E-3</v>
      </c>
      <c r="M388" s="12" t="s">
        <v>837</v>
      </c>
    </row>
    <row r="389" spans="7:13">
      <c r="G389" s="16" t="s">
        <v>1463</v>
      </c>
      <c r="H389" s="4" t="s">
        <v>339</v>
      </c>
      <c r="I389" s="13">
        <v>55</v>
      </c>
      <c r="J389" s="2" t="s">
        <v>832</v>
      </c>
      <c r="K389" s="10">
        <v>44160</v>
      </c>
      <c r="L389" s="14">
        <v>6.9999999999999993E-3</v>
      </c>
      <c r="M389" s="12" t="s">
        <v>839</v>
      </c>
    </row>
    <row r="390" spans="7:13">
      <c r="G390" s="16" t="s">
        <v>1432</v>
      </c>
      <c r="H390" s="4" t="s">
        <v>787</v>
      </c>
      <c r="I390" s="13">
        <v>106</v>
      </c>
      <c r="J390" s="2" t="s">
        <v>848</v>
      </c>
      <c r="K390" s="10">
        <v>44145</v>
      </c>
      <c r="L390" s="14">
        <v>8.9999999999999998E-4</v>
      </c>
      <c r="M390" s="12" t="s">
        <v>831</v>
      </c>
    </row>
    <row r="391" spans="7:13">
      <c r="G391" s="16" t="s">
        <v>890</v>
      </c>
      <c r="H391" s="4" t="s">
        <v>442</v>
      </c>
      <c r="I391" s="13">
        <v>2886</v>
      </c>
      <c r="J391" s="2" t="s">
        <v>832</v>
      </c>
      <c r="K391" s="10">
        <v>44141</v>
      </c>
      <c r="L391" s="14">
        <v>2.1000000000000001E-4</v>
      </c>
      <c r="M391" s="12" t="s">
        <v>837</v>
      </c>
    </row>
    <row r="392" spans="7:13">
      <c r="G392" s="16" t="s">
        <v>1176</v>
      </c>
      <c r="H392" s="4" t="s">
        <v>658</v>
      </c>
      <c r="I392" s="13">
        <v>44</v>
      </c>
      <c r="J392" s="2" t="s">
        <v>848</v>
      </c>
      <c r="K392" s="10">
        <v>44145</v>
      </c>
      <c r="L392" s="14">
        <v>8.9999999999999998E-4</v>
      </c>
      <c r="M392" s="12" t="s">
        <v>837</v>
      </c>
    </row>
    <row r="393" spans="7:13">
      <c r="G393" s="16" t="s">
        <v>1094</v>
      </c>
      <c r="H393" s="4" t="s">
        <v>756</v>
      </c>
      <c r="I393" s="13">
        <v>425</v>
      </c>
      <c r="J393" s="2" t="s">
        <v>848</v>
      </c>
      <c r="K393" s="10">
        <v>44145</v>
      </c>
      <c r="L393" s="14">
        <v>4.5000000000000005E-3</v>
      </c>
      <c r="M393" s="12" t="s">
        <v>849</v>
      </c>
    </row>
    <row r="394" spans="7:13">
      <c r="G394" s="16" t="s">
        <v>1371</v>
      </c>
      <c r="H394" s="4" t="s">
        <v>488</v>
      </c>
      <c r="I394" s="13">
        <v>2365</v>
      </c>
      <c r="J394" s="2" t="s">
        <v>848</v>
      </c>
      <c r="K394" s="10">
        <v>44133</v>
      </c>
      <c r="L394" s="14">
        <v>4.5000000000000005E-3</v>
      </c>
      <c r="M394" s="12" t="s">
        <v>837</v>
      </c>
    </row>
    <row r="395" spans="7:13">
      <c r="G395" s="16" t="s">
        <v>1267</v>
      </c>
      <c r="H395" s="4" t="s">
        <v>688</v>
      </c>
      <c r="I395" s="13">
        <v>997</v>
      </c>
      <c r="J395" s="2" t="s">
        <v>848</v>
      </c>
      <c r="K395" s="10">
        <v>44133</v>
      </c>
      <c r="L395" s="14">
        <v>4.5000000000000005E-3</v>
      </c>
      <c r="M395" s="12" t="s">
        <v>837</v>
      </c>
    </row>
    <row r="396" spans="7:13">
      <c r="G396" s="16" t="s">
        <v>1008</v>
      </c>
      <c r="H396" s="4" t="s">
        <v>163</v>
      </c>
      <c r="I396" s="13">
        <v>60</v>
      </c>
      <c r="J396" s="2" t="s">
        <v>848</v>
      </c>
      <c r="K396" s="10">
        <v>44133</v>
      </c>
      <c r="L396" s="14">
        <v>4.5000000000000005E-3</v>
      </c>
      <c r="M396" s="12" t="s">
        <v>849</v>
      </c>
    </row>
    <row r="397" spans="7:13">
      <c r="G397" s="16" t="s">
        <v>1512</v>
      </c>
      <c r="H397" s="4" t="s">
        <v>283</v>
      </c>
      <c r="I397" s="13">
        <v>5391</v>
      </c>
      <c r="J397" s="2" t="s">
        <v>832</v>
      </c>
      <c r="K397" s="10">
        <v>44133</v>
      </c>
      <c r="L397" s="14">
        <v>7.000000000000001E-4</v>
      </c>
      <c r="M397" s="12" t="s">
        <v>839</v>
      </c>
    </row>
    <row r="398" spans="7:13">
      <c r="G398" s="16" t="s">
        <v>1669</v>
      </c>
      <c r="H398" s="4" t="s">
        <v>293</v>
      </c>
      <c r="I398" s="13">
        <v>2140</v>
      </c>
      <c r="J398" s="2" t="s">
        <v>835</v>
      </c>
      <c r="K398" s="10">
        <v>44119</v>
      </c>
      <c r="L398" s="14">
        <v>2.0000000000000001E-4</v>
      </c>
      <c r="M398" s="12" t="s">
        <v>839</v>
      </c>
    </row>
    <row r="399" spans="7:13">
      <c r="G399" s="16" t="s">
        <v>900</v>
      </c>
      <c r="H399" s="4" t="s">
        <v>55</v>
      </c>
      <c r="I399" s="13">
        <v>143</v>
      </c>
      <c r="J399" s="2" t="s">
        <v>840</v>
      </c>
      <c r="K399" s="10">
        <v>44103</v>
      </c>
      <c r="L399" s="14">
        <v>4.0000000000000001E-3</v>
      </c>
      <c r="M399" s="12" t="s">
        <v>828</v>
      </c>
    </row>
    <row r="400" spans="7:13">
      <c r="G400" s="16" t="s">
        <v>1224</v>
      </c>
      <c r="H400" s="4" t="s">
        <v>566</v>
      </c>
      <c r="I400" s="13">
        <v>397</v>
      </c>
      <c r="J400" s="2" t="s">
        <v>848</v>
      </c>
      <c r="K400" s="10">
        <v>44111</v>
      </c>
      <c r="L400" s="14">
        <v>4.0000000000000001E-3</v>
      </c>
      <c r="M400" s="12" t="s">
        <v>828</v>
      </c>
    </row>
    <row r="401" spans="7:13">
      <c r="G401" s="16" t="s">
        <v>1464</v>
      </c>
      <c r="H401" s="4" t="s">
        <v>357</v>
      </c>
      <c r="I401" s="13">
        <v>178</v>
      </c>
      <c r="J401" s="2" t="s">
        <v>848</v>
      </c>
      <c r="K401" s="10">
        <v>44111</v>
      </c>
      <c r="L401" s="14">
        <v>4.0000000000000001E-3</v>
      </c>
      <c r="M401" s="12" t="s">
        <v>828</v>
      </c>
    </row>
    <row r="402" spans="7:13">
      <c r="G402" s="16" t="s">
        <v>1379</v>
      </c>
      <c r="H402" s="4" t="s">
        <v>144</v>
      </c>
      <c r="I402" s="13">
        <v>3002</v>
      </c>
      <c r="J402" s="2" t="s">
        <v>848</v>
      </c>
      <c r="K402" s="10">
        <v>44111</v>
      </c>
      <c r="L402" s="14">
        <v>4.0000000000000001E-3</v>
      </c>
      <c r="M402" s="12" t="s">
        <v>828</v>
      </c>
    </row>
    <row r="403" spans="7:13">
      <c r="G403" s="16" t="s">
        <v>1652</v>
      </c>
      <c r="H403" s="4" t="s">
        <v>529</v>
      </c>
      <c r="I403" s="13">
        <v>950</v>
      </c>
      <c r="J403" s="2" t="s">
        <v>848</v>
      </c>
      <c r="K403" s="10">
        <v>44111</v>
      </c>
      <c r="L403" s="14">
        <v>4.0000000000000001E-3</v>
      </c>
      <c r="M403" s="12" t="s">
        <v>828</v>
      </c>
    </row>
    <row r="404" spans="7:13">
      <c r="G404" s="16" t="s">
        <v>1076</v>
      </c>
      <c r="H404" s="4" t="s">
        <v>155</v>
      </c>
      <c r="I404" s="13">
        <v>1745</v>
      </c>
      <c r="J404" s="2" t="s">
        <v>848</v>
      </c>
      <c r="K404" s="10">
        <v>44111</v>
      </c>
      <c r="L404" s="14">
        <v>4.0000000000000001E-3</v>
      </c>
      <c r="M404" s="12" t="s">
        <v>828</v>
      </c>
    </row>
    <row r="405" spans="7:13">
      <c r="G405" s="16" t="s">
        <v>1084</v>
      </c>
      <c r="H405" s="4" t="s">
        <v>559</v>
      </c>
      <c r="I405" s="13">
        <v>73</v>
      </c>
      <c r="J405" s="2" t="s">
        <v>840</v>
      </c>
      <c r="K405" s="10">
        <v>44103</v>
      </c>
      <c r="L405" s="14">
        <v>3.0000000000000001E-3</v>
      </c>
      <c r="M405" s="12" t="s">
        <v>831</v>
      </c>
    </row>
    <row r="406" spans="7:13">
      <c r="G406" s="16" t="s">
        <v>997</v>
      </c>
      <c r="H406" s="4" t="s">
        <v>575</v>
      </c>
      <c r="I406" s="13">
        <v>1039</v>
      </c>
      <c r="J406" s="2" t="s">
        <v>848</v>
      </c>
      <c r="K406" s="10">
        <v>44099</v>
      </c>
      <c r="L406" s="14">
        <v>1.5E-3</v>
      </c>
      <c r="M406" s="12" t="s">
        <v>831</v>
      </c>
    </row>
    <row r="407" spans="7:13">
      <c r="G407" s="16" t="s">
        <v>1528</v>
      </c>
      <c r="H407" s="4" t="s">
        <v>499</v>
      </c>
      <c r="I407" s="13">
        <v>1469</v>
      </c>
      <c r="J407" s="2" t="s">
        <v>835</v>
      </c>
      <c r="K407" s="10">
        <v>44099</v>
      </c>
      <c r="L407" s="14">
        <v>4.4999999999999999E-4</v>
      </c>
      <c r="M407" s="12" t="s">
        <v>831</v>
      </c>
    </row>
    <row r="408" spans="7:13">
      <c r="G408" s="16" t="s">
        <v>1568</v>
      </c>
      <c r="H408" s="4" t="s">
        <v>29</v>
      </c>
      <c r="I408" s="13">
        <v>262</v>
      </c>
      <c r="J408" s="2" t="s">
        <v>835</v>
      </c>
      <c r="K408" s="10">
        <v>44083</v>
      </c>
      <c r="L408" s="14">
        <v>7.000000000000001E-4</v>
      </c>
      <c r="M408" s="12" t="s">
        <v>844</v>
      </c>
    </row>
    <row r="409" spans="7:13">
      <c r="G409" s="16" t="s">
        <v>1297</v>
      </c>
      <c r="H409" s="4" t="s">
        <v>697</v>
      </c>
      <c r="I409" s="13">
        <v>2331</v>
      </c>
      <c r="J409" s="2" t="s">
        <v>840</v>
      </c>
      <c r="K409" s="10">
        <v>44064</v>
      </c>
      <c r="L409" s="14">
        <v>1.2E-4</v>
      </c>
      <c r="M409" s="12" t="s">
        <v>837</v>
      </c>
    </row>
    <row r="410" spans="7:13">
      <c r="G410" s="16" t="s">
        <v>1233</v>
      </c>
      <c r="H410" s="4" t="s">
        <v>545</v>
      </c>
      <c r="I410" s="13">
        <v>21362</v>
      </c>
      <c r="J410" s="2" t="s">
        <v>832</v>
      </c>
      <c r="K410" s="10">
        <v>44050</v>
      </c>
      <c r="L410" s="14">
        <v>7.000000000000001E-4</v>
      </c>
      <c r="M410" s="12" t="s">
        <v>828</v>
      </c>
    </row>
    <row r="411" spans="7:13">
      <c r="G411" s="16" t="s">
        <v>1630</v>
      </c>
      <c r="H411" s="4" t="s">
        <v>432</v>
      </c>
      <c r="I411" s="13">
        <v>6612</v>
      </c>
      <c r="J411" s="2" t="s">
        <v>832</v>
      </c>
      <c r="K411" s="10">
        <v>44050</v>
      </c>
      <c r="L411" s="14">
        <v>7.000000000000001E-4</v>
      </c>
      <c r="M411" s="12" t="s">
        <v>839</v>
      </c>
    </row>
    <row r="412" spans="7:13">
      <c r="G412" s="16" t="s">
        <v>1354</v>
      </c>
      <c r="H412" s="4" t="s">
        <v>192</v>
      </c>
      <c r="I412" s="13">
        <v>81</v>
      </c>
      <c r="J412" s="2" t="s">
        <v>838</v>
      </c>
      <c r="K412" s="10">
        <v>44064</v>
      </c>
      <c r="L412" s="14">
        <v>6.4000000000000003E-3</v>
      </c>
      <c r="M412" s="12" t="s">
        <v>831</v>
      </c>
    </row>
    <row r="413" spans="7:13">
      <c r="G413" s="16" t="s">
        <v>1493</v>
      </c>
      <c r="H413" s="4" t="s">
        <v>642</v>
      </c>
      <c r="I413" s="13">
        <v>367</v>
      </c>
      <c r="J413" s="2" t="s">
        <v>838</v>
      </c>
      <c r="K413" s="10">
        <v>44064</v>
      </c>
      <c r="L413" s="14">
        <v>6.4000000000000003E-3</v>
      </c>
      <c r="M413" s="12" t="s">
        <v>831</v>
      </c>
    </row>
    <row r="414" spans="7:13">
      <c r="G414" s="16" t="s">
        <v>1599</v>
      </c>
      <c r="H414" s="4" t="s">
        <v>207</v>
      </c>
      <c r="I414" s="13">
        <v>349</v>
      </c>
      <c r="J414" s="2" t="s">
        <v>840</v>
      </c>
      <c r="K414" s="10">
        <v>44033</v>
      </c>
      <c r="L414" s="14">
        <v>7.000000000000001E-4</v>
      </c>
      <c r="M414" s="12" t="s">
        <v>831</v>
      </c>
    </row>
    <row r="415" spans="7:13">
      <c r="G415" s="16" t="s">
        <v>1060</v>
      </c>
      <c r="H415" s="4" t="s">
        <v>365</v>
      </c>
      <c r="I415" s="13">
        <v>68317</v>
      </c>
      <c r="J415" s="2" t="s">
        <v>857</v>
      </c>
      <c r="K415" s="10">
        <v>44019</v>
      </c>
      <c r="L415" s="14">
        <v>2.9999999999999997E-4</v>
      </c>
      <c r="M415" s="12" t="s">
        <v>828</v>
      </c>
    </row>
    <row r="416" spans="7:13">
      <c r="G416" s="16" t="s">
        <v>1320</v>
      </c>
      <c r="H416" s="4" t="s">
        <v>748</v>
      </c>
      <c r="I416" s="13">
        <v>5724</v>
      </c>
      <c r="J416" s="2" t="s">
        <v>835</v>
      </c>
      <c r="K416" s="10">
        <v>44033</v>
      </c>
      <c r="L416" s="14">
        <v>2.0000000000000001E-4</v>
      </c>
      <c r="M416" s="12" t="s">
        <v>839</v>
      </c>
    </row>
    <row r="417" spans="7:13">
      <c r="G417" s="16" t="s">
        <v>1168</v>
      </c>
      <c r="H417" s="4" t="s">
        <v>264</v>
      </c>
      <c r="I417" s="13">
        <v>216</v>
      </c>
      <c r="J417" s="2" t="s">
        <v>840</v>
      </c>
      <c r="K417" s="10">
        <v>43958</v>
      </c>
      <c r="L417" s="14">
        <v>2.0000000000000001E-4</v>
      </c>
      <c r="M417" s="12" t="s">
        <v>839</v>
      </c>
    </row>
    <row r="418" spans="7:13">
      <c r="G418" s="16" t="s">
        <v>1366</v>
      </c>
      <c r="H418" s="4" t="s">
        <v>764</v>
      </c>
      <c r="I418" s="13">
        <v>439</v>
      </c>
      <c r="J418" s="2" t="s">
        <v>843</v>
      </c>
      <c r="K418" s="10">
        <v>43963</v>
      </c>
      <c r="L418" s="14">
        <v>5.0000000000000001E-3</v>
      </c>
      <c r="M418" s="12" t="s">
        <v>849</v>
      </c>
    </row>
    <row r="419" spans="7:13">
      <c r="G419" s="16" t="s">
        <v>1073</v>
      </c>
      <c r="H419" s="4" t="s">
        <v>106</v>
      </c>
      <c r="I419" s="13">
        <v>111</v>
      </c>
      <c r="J419" s="2" t="s">
        <v>847</v>
      </c>
      <c r="K419" s="10">
        <v>43970</v>
      </c>
      <c r="L419" s="14">
        <v>5.0000000000000001E-3</v>
      </c>
      <c r="M419" s="12" t="s">
        <v>837</v>
      </c>
    </row>
    <row r="420" spans="7:13">
      <c r="G420" s="16" t="s">
        <v>1095</v>
      </c>
      <c r="H420" s="4" t="s">
        <v>203</v>
      </c>
      <c r="I420" s="13">
        <v>171</v>
      </c>
      <c r="J420" s="2" t="s">
        <v>862</v>
      </c>
      <c r="K420" s="10">
        <v>43964</v>
      </c>
      <c r="L420" s="14">
        <v>8.9999999999999998E-4</v>
      </c>
      <c r="M420" s="12" t="s">
        <v>831</v>
      </c>
    </row>
    <row r="421" spans="7:13">
      <c r="G421" s="16" t="s">
        <v>1260</v>
      </c>
      <c r="H421" s="4" t="s">
        <v>221</v>
      </c>
      <c r="I421" s="13">
        <v>155</v>
      </c>
      <c r="J421" s="2" t="s">
        <v>862</v>
      </c>
      <c r="K421" s="10">
        <v>43964</v>
      </c>
      <c r="L421" s="14">
        <v>3.0000000000000001E-3</v>
      </c>
      <c r="M421" s="12" t="s">
        <v>831</v>
      </c>
    </row>
    <row r="422" spans="7:13">
      <c r="G422" s="16" t="s">
        <v>1440</v>
      </c>
      <c r="H422" s="4" t="s">
        <v>595</v>
      </c>
      <c r="I422" s="13">
        <v>87</v>
      </c>
      <c r="J422" s="2" t="s">
        <v>857</v>
      </c>
      <c r="K422" s="10">
        <v>43846</v>
      </c>
      <c r="L422" s="14">
        <v>2E-3</v>
      </c>
      <c r="M422" s="12" t="s">
        <v>849</v>
      </c>
    </row>
    <row r="423" spans="7:13">
      <c r="G423" s="16" t="s">
        <v>1602</v>
      </c>
      <c r="H423" s="4" t="s">
        <v>568</v>
      </c>
      <c r="I423" s="13">
        <v>257</v>
      </c>
      <c r="J423" s="2" t="s">
        <v>830</v>
      </c>
      <c r="K423" s="10">
        <v>43973</v>
      </c>
      <c r="L423" s="14">
        <v>2.2000000000000001E-3</v>
      </c>
      <c r="M423" s="12" t="s">
        <v>828</v>
      </c>
    </row>
    <row r="424" spans="7:13">
      <c r="G424" s="16" t="s">
        <v>1374</v>
      </c>
      <c r="H424" s="4" t="s">
        <v>269</v>
      </c>
      <c r="I424" s="13">
        <v>353</v>
      </c>
      <c r="J424" s="2" t="s">
        <v>838</v>
      </c>
      <c r="K424" s="10">
        <v>43783</v>
      </c>
      <c r="L424" s="14">
        <v>8.9999999999999998E-4</v>
      </c>
      <c r="M424" s="12" t="s">
        <v>831</v>
      </c>
    </row>
    <row r="425" spans="7:13">
      <c r="G425" s="16" t="s">
        <v>1032</v>
      </c>
      <c r="H425" s="4" t="s">
        <v>786</v>
      </c>
      <c r="I425" s="13">
        <v>181</v>
      </c>
      <c r="J425" s="2" t="s">
        <v>827</v>
      </c>
      <c r="K425" s="10">
        <v>43783</v>
      </c>
      <c r="L425" s="14">
        <v>3.0000000000000001E-3</v>
      </c>
      <c r="M425" s="12" t="s">
        <v>831</v>
      </c>
    </row>
    <row r="426" spans="7:13">
      <c r="G426" s="16" t="s">
        <v>1341</v>
      </c>
      <c r="H426" s="4" t="s">
        <v>599</v>
      </c>
      <c r="I426" s="13">
        <v>185</v>
      </c>
      <c r="J426" s="2" t="s">
        <v>827</v>
      </c>
      <c r="K426" s="10">
        <v>43783</v>
      </c>
      <c r="L426" s="14">
        <v>1.5E-3</v>
      </c>
      <c r="M426" s="12" t="s">
        <v>831</v>
      </c>
    </row>
    <row r="427" spans="7:13">
      <c r="G427" s="16" t="s">
        <v>1284</v>
      </c>
      <c r="H427" s="4" t="s">
        <v>805</v>
      </c>
      <c r="I427" s="13">
        <v>73</v>
      </c>
      <c r="J427" s="2" t="s">
        <v>838</v>
      </c>
      <c r="K427" s="10">
        <v>43783</v>
      </c>
      <c r="L427" s="14">
        <v>3.0000000000000001E-3</v>
      </c>
      <c r="M427" s="12" t="s">
        <v>831</v>
      </c>
    </row>
    <row r="428" spans="7:13">
      <c r="G428" s="16" t="s">
        <v>1016</v>
      </c>
      <c r="H428" s="4" t="s">
        <v>435</v>
      </c>
      <c r="I428" s="13">
        <v>421</v>
      </c>
      <c r="J428" s="2" t="s">
        <v>835</v>
      </c>
      <c r="K428" s="10">
        <v>43767</v>
      </c>
      <c r="L428" s="14">
        <v>7.000000000000001E-4</v>
      </c>
      <c r="M428" s="12" t="s">
        <v>837</v>
      </c>
    </row>
    <row r="429" spans="7:13">
      <c r="G429" s="16" t="s">
        <v>1010</v>
      </c>
      <c r="H429" s="4" t="s">
        <v>347</v>
      </c>
      <c r="I429" s="13">
        <v>30</v>
      </c>
      <c r="J429" s="2" t="s">
        <v>829</v>
      </c>
      <c r="K429" s="10">
        <v>43732</v>
      </c>
      <c r="L429" s="14">
        <v>6.0000000000000001E-3</v>
      </c>
      <c r="M429" s="12" t="s">
        <v>837</v>
      </c>
    </row>
    <row r="430" spans="7:13">
      <c r="G430" s="16" t="s">
        <v>1116</v>
      </c>
      <c r="H430" s="4" t="s">
        <v>635</v>
      </c>
      <c r="I430" s="13">
        <v>52</v>
      </c>
      <c r="J430" s="2" t="s">
        <v>829</v>
      </c>
      <c r="K430" s="10">
        <v>43732</v>
      </c>
      <c r="L430" s="14">
        <v>6.0000000000000001E-3</v>
      </c>
      <c r="M430" s="12" t="s">
        <v>837</v>
      </c>
    </row>
    <row r="431" spans="7:13">
      <c r="G431" s="16" t="s">
        <v>1565</v>
      </c>
      <c r="H431" s="4" t="s">
        <v>292</v>
      </c>
      <c r="I431" s="13">
        <v>56</v>
      </c>
      <c r="J431" s="2" t="s">
        <v>838</v>
      </c>
      <c r="K431" s="10">
        <v>43713</v>
      </c>
      <c r="L431" s="14">
        <v>2.5000000000000001E-3</v>
      </c>
      <c r="M431" s="12" t="s">
        <v>842</v>
      </c>
    </row>
    <row r="432" spans="7:13">
      <c r="G432" s="16" t="s">
        <v>1476</v>
      </c>
      <c r="H432" s="4" t="s">
        <v>508</v>
      </c>
      <c r="I432" s="13">
        <v>60</v>
      </c>
      <c r="J432" s="2" t="s">
        <v>838</v>
      </c>
      <c r="K432" s="10">
        <v>43713</v>
      </c>
      <c r="L432" s="14">
        <v>2.5000000000000001E-3</v>
      </c>
      <c r="M432" s="12" t="s">
        <v>842</v>
      </c>
    </row>
    <row r="433" spans="7:13">
      <c r="G433" s="16" t="s">
        <v>1071</v>
      </c>
      <c r="H433" s="4" t="s">
        <v>45</v>
      </c>
      <c r="I433" s="13">
        <v>61</v>
      </c>
      <c r="J433" s="2" t="s">
        <v>838</v>
      </c>
      <c r="K433" s="10">
        <v>43713</v>
      </c>
      <c r="L433" s="14">
        <v>2.5000000000000001E-3</v>
      </c>
      <c r="M433" s="12" t="s">
        <v>842</v>
      </c>
    </row>
    <row r="434" spans="7:13">
      <c r="G434" s="16" t="s">
        <v>946</v>
      </c>
      <c r="H434" s="4" t="s">
        <v>324</v>
      </c>
      <c r="I434" s="13">
        <v>69</v>
      </c>
      <c r="J434" s="2" t="s">
        <v>838</v>
      </c>
      <c r="K434" s="10">
        <v>43713</v>
      </c>
      <c r="L434" s="14">
        <v>2.5000000000000001E-3</v>
      </c>
      <c r="M434" s="12" t="s">
        <v>842</v>
      </c>
    </row>
    <row r="435" spans="7:13">
      <c r="G435" s="16" t="s">
        <v>905</v>
      </c>
      <c r="H435" s="4" t="s">
        <v>334</v>
      </c>
      <c r="I435" s="13">
        <v>58</v>
      </c>
      <c r="J435" s="2" t="s">
        <v>838</v>
      </c>
      <c r="K435" s="10">
        <v>43713</v>
      </c>
      <c r="L435" s="14">
        <v>2.5000000000000001E-3</v>
      </c>
      <c r="M435" s="12" t="s">
        <v>842</v>
      </c>
    </row>
    <row r="436" spans="7:13">
      <c r="G436" s="16" t="s">
        <v>1059</v>
      </c>
      <c r="H436" s="4" t="s">
        <v>40</v>
      </c>
      <c r="I436" s="13">
        <v>1736</v>
      </c>
      <c r="J436" s="2" t="s">
        <v>840</v>
      </c>
      <c r="K436" s="10">
        <v>43705</v>
      </c>
      <c r="L436" s="14">
        <v>1.1999999999999999E-3</v>
      </c>
      <c r="M436" s="12" t="s">
        <v>849</v>
      </c>
    </row>
    <row r="437" spans="7:13">
      <c r="G437" s="16" t="s">
        <v>1347</v>
      </c>
      <c r="H437" s="4" t="s">
        <v>237</v>
      </c>
      <c r="I437" s="13">
        <v>902</v>
      </c>
      <c r="J437" s="2" t="s">
        <v>840</v>
      </c>
      <c r="K437" s="10">
        <v>43705</v>
      </c>
      <c r="L437" s="14">
        <v>2.9999999999999997E-4</v>
      </c>
      <c r="M437" s="12" t="s">
        <v>849</v>
      </c>
    </row>
    <row r="438" spans="7:13">
      <c r="G438" s="16" t="s">
        <v>1409</v>
      </c>
      <c r="H438" s="4" t="s">
        <v>713</v>
      </c>
      <c r="I438" s="13">
        <v>326</v>
      </c>
      <c r="J438" s="2" t="s">
        <v>841</v>
      </c>
      <c r="K438" s="10">
        <v>43697</v>
      </c>
      <c r="L438" s="14">
        <v>3.15E-3</v>
      </c>
      <c r="M438" s="12" t="s">
        <v>842</v>
      </c>
    </row>
    <row r="439" spans="7:13">
      <c r="G439" s="16" t="s">
        <v>1247</v>
      </c>
      <c r="H439" s="4" t="s">
        <v>54</v>
      </c>
      <c r="I439" s="13">
        <v>233</v>
      </c>
      <c r="J439" s="2" t="s">
        <v>841</v>
      </c>
      <c r="K439" s="10">
        <v>43697</v>
      </c>
      <c r="L439" s="14">
        <v>3.15E-3</v>
      </c>
      <c r="M439" s="12" t="s">
        <v>842</v>
      </c>
    </row>
    <row r="440" spans="7:13">
      <c r="G440" s="16" t="s">
        <v>1129</v>
      </c>
      <c r="H440" s="4" t="s">
        <v>206</v>
      </c>
      <c r="I440" s="13">
        <v>352</v>
      </c>
      <c r="J440" s="2" t="s">
        <v>840</v>
      </c>
      <c r="K440" s="10">
        <v>43705</v>
      </c>
      <c r="L440" s="14">
        <v>2.9999999999999997E-4</v>
      </c>
      <c r="M440" s="12" t="s">
        <v>839</v>
      </c>
    </row>
    <row r="441" spans="7:13">
      <c r="G441" s="16" t="s">
        <v>1277</v>
      </c>
      <c r="H441" s="4" t="s">
        <v>190</v>
      </c>
      <c r="I441" s="13">
        <v>75</v>
      </c>
      <c r="J441" s="2" t="s">
        <v>827</v>
      </c>
      <c r="K441" s="10">
        <v>43690</v>
      </c>
      <c r="L441" s="14">
        <v>3.0000000000000001E-3</v>
      </c>
      <c r="M441" s="12" t="s">
        <v>855</v>
      </c>
    </row>
    <row r="442" spans="7:13">
      <c r="G442" s="16" t="s">
        <v>1207</v>
      </c>
      <c r="H442" s="4" t="s">
        <v>262</v>
      </c>
      <c r="I442" s="13">
        <v>5497</v>
      </c>
      <c r="J442" s="2" t="s">
        <v>856</v>
      </c>
      <c r="K442" s="10">
        <v>43670</v>
      </c>
      <c r="L442" s="14">
        <v>3.0000000000000001E-3</v>
      </c>
      <c r="M442" s="12" t="s">
        <v>828</v>
      </c>
    </row>
    <row r="443" spans="7:13">
      <c r="G443" s="16" t="s">
        <v>1300</v>
      </c>
      <c r="H443" s="4" t="s">
        <v>441</v>
      </c>
      <c r="I443" s="13">
        <v>237</v>
      </c>
      <c r="J443" s="2" t="s">
        <v>830</v>
      </c>
      <c r="K443" s="10">
        <v>43650</v>
      </c>
      <c r="L443" s="14">
        <v>1E-3</v>
      </c>
      <c r="M443" s="12" t="s">
        <v>831</v>
      </c>
    </row>
    <row r="444" spans="7:13">
      <c r="G444" s="16" t="s">
        <v>1350</v>
      </c>
      <c r="H444" s="4" t="s">
        <v>21</v>
      </c>
      <c r="I444" s="13">
        <v>239</v>
      </c>
      <c r="J444" s="2" t="s">
        <v>830</v>
      </c>
      <c r="K444" s="10">
        <v>43650</v>
      </c>
      <c r="L444" s="14">
        <v>1.7000000000000001E-3</v>
      </c>
      <c r="M444" s="12" t="s">
        <v>831</v>
      </c>
    </row>
    <row r="445" spans="7:13">
      <c r="G445" s="16" t="s">
        <v>1445</v>
      </c>
      <c r="H445" s="4" t="s">
        <v>477</v>
      </c>
      <c r="I445" s="13">
        <v>1482</v>
      </c>
      <c r="J445" s="2" t="s">
        <v>830</v>
      </c>
      <c r="K445" s="10">
        <v>43650</v>
      </c>
      <c r="L445" s="14">
        <v>2.3999999999999998E-3</v>
      </c>
      <c r="M445" s="12" t="s">
        <v>831</v>
      </c>
    </row>
    <row r="446" spans="7:13">
      <c r="G446" s="16" t="s">
        <v>998</v>
      </c>
      <c r="H446" s="4" t="s">
        <v>519</v>
      </c>
      <c r="I446" s="13">
        <v>3192</v>
      </c>
      <c r="J446" s="2" t="s">
        <v>845</v>
      </c>
      <c r="K446" s="10">
        <v>43665</v>
      </c>
      <c r="L446" s="14">
        <v>2.8999999999999998E-3</v>
      </c>
      <c r="M446" s="12" t="s">
        <v>828</v>
      </c>
    </row>
    <row r="447" spans="7:13">
      <c r="G447" s="16" t="s">
        <v>1676</v>
      </c>
      <c r="H447" s="4" t="s">
        <v>291</v>
      </c>
      <c r="I447" s="13">
        <v>1936</v>
      </c>
      <c r="J447" s="2" t="s">
        <v>840</v>
      </c>
      <c r="K447" s="10">
        <v>43641</v>
      </c>
      <c r="L447" s="14">
        <v>1.5E-3</v>
      </c>
      <c r="M447" s="12" t="s">
        <v>842</v>
      </c>
    </row>
    <row r="448" spans="7:13">
      <c r="G448" s="16" t="s">
        <v>1324</v>
      </c>
      <c r="H448" s="4" t="s">
        <v>505</v>
      </c>
      <c r="I448" s="13">
        <v>1741</v>
      </c>
      <c r="J448" s="2" t="s">
        <v>838</v>
      </c>
      <c r="K448" s="10">
        <v>43636</v>
      </c>
      <c r="L448" s="14">
        <v>4.0000000000000001E-3</v>
      </c>
      <c r="M448" s="12" t="s">
        <v>837</v>
      </c>
    </row>
    <row r="449" spans="7:13">
      <c r="G449" s="16" t="s">
        <v>1202</v>
      </c>
      <c r="H449" s="4" t="s">
        <v>323</v>
      </c>
      <c r="I449" s="13">
        <v>259</v>
      </c>
      <c r="J449" s="2" t="s">
        <v>838</v>
      </c>
      <c r="K449" s="10">
        <v>43636</v>
      </c>
      <c r="L449" s="14">
        <v>4.0000000000000001E-3</v>
      </c>
      <c r="M449" s="12" t="s">
        <v>837</v>
      </c>
    </row>
    <row r="450" spans="7:13">
      <c r="G450" s="16" t="s">
        <v>1394</v>
      </c>
      <c r="H450" s="4" t="s">
        <v>586</v>
      </c>
      <c r="I450" s="13">
        <v>1159</v>
      </c>
      <c r="J450" s="2" t="s">
        <v>838</v>
      </c>
      <c r="K450" s="10">
        <v>43616</v>
      </c>
      <c r="L450" s="14">
        <v>3.0000000000000001E-3</v>
      </c>
      <c r="M450" s="12" t="s">
        <v>831</v>
      </c>
    </row>
    <row r="451" spans="7:13">
      <c r="G451" s="16" t="s">
        <v>986</v>
      </c>
      <c r="H451" s="4" t="s">
        <v>554</v>
      </c>
      <c r="I451" s="13">
        <v>827</v>
      </c>
      <c r="J451" s="2" t="s">
        <v>838</v>
      </c>
      <c r="K451" s="10">
        <v>43616</v>
      </c>
      <c r="L451" s="14">
        <v>3.0000000000000001E-3</v>
      </c>
      <c r="M451" s="12" t="s">
        <v>831</v>
      </c>
    </row>
    <row r="452" spans="7:13">
      <c r="G452" s="16" t="s">
        <v>1226</v>
      </c>
      <c r="H452" s="4" t="s">
        <v>321</v>
      </c>
      <c r="I452" s="13">
        <v>65</v>
      </c>
      <c r="J452" s="2" t="s">
        <v>838</v>
      </c>
      <c r="K452" s="10">
        <v>43578</v>
      </c>
      <c r="L452" s="14">
        <v>2.5000000000000001E-3</v>
      </c>
      <c r="M452" s="12" t="s">
        <v>849</v>
      </c>
    </row>
    <row r="453" spans="7:13">
      <c r="G453" s="16" t="s">
        <v>1627</v>
      </c>
      <c r="H453" s="4" t="s">
        <v>728</v>
      </c>
      <c r="I453" s="13">
        <v>561</v>
      </c>
      <c r="J453" s="2" t="s">
        <v>848</v>
      </c>
      <c r="K453" s="10">
        <v>43578</v>
      </c>
      <c r="L453" s="14">
        <v>4.5000000000000005E-3</v>
      </c>
      <c r="M453" s="12" t="s">
        <v>849</v>
      </c>
    </row>
    <row r="454" spans="7:13">
      <c r="G454" s="16" t="s">
        <v>1628</v>
      </c>
      <c r="H454" s="4" t="s">
        <v>770</v>
      </c>
      <c r="I454" s="13">
        <v>64</v>
      </c>
      <c r="J454" s="2" t="s">
        <v>838</v>
      </c>
      <c r="K454" s="10">
        <v>43571</v>
      </c>
      <c r="L454" s="14">
        <v>1.9E-3</v>
      </c>
      <c r="M454" s="12" t="s">
        <v>839</v>
      </c>
    </row>
    <row r="455" spans="7:13">
      <c r="G455" s="16" t="s">
        <v>1096</v>
      </c>
      <c r="H455" s="4" t="s">
        <v>517</v>
      </c>
      <c r="I455" s="13">
        <v>75</v>
      </c>
      <c r="J455" s="2" t="s">
        <v>838</v>
      </c>
      <c r="K455" s="10">
        <v>43571</v>
      </c>
      <c r="L455" s="14">
        <v>1.9E-3</v>
      </c>
      <c r="M455" s="12" t="s">
        <v>839</v>
      </c>
    </row>
    <row r="456" spans="7:13">
      <c r="G456" s="16" t="s">
        <v>1564</v>
      </c>
      <c r="H456" s="4" t="s">
        <v>138</v>
      </c>
      <c r="I456" s="13">
        <v>76</v>
      </c>
      <c r="J456" s="2" t="s">
        <v>838</v>
      </c>
      <c r="K456" s="10">
        <v>43571</v>
      </c>
      <c r="L456" s="14">
        <v>1.9E-3</v>
      </c>
      <c r="M456" s="12" t="s">
        <v>839</v>
      </c>
    </row>
    <row r="457" spans="7:13">
      <c r="G457" s="16" t="s">
        <v>1338</v>
      </c>
      <c r="H457" s="4" t="s">
        <v>261</v>
      </c>
      <c r="I457" s="13">
        <v>48</v>
      </c>
      <c r="J457" s="2" t="s">
        <v>847</v>
      </c>
      <c r="K457" s="10">
        <v>43621</v>
      </c>
      <c r="L457" s="14">
        <v>2.5000000000000001E-3</v>
      </c>
      <c r="M457" s="12" t="s">
        <v>831</v>
      </c>
    </row>
    <row r="458" spans="7:13">
      <c r="G458" s="16" t="s">
        <v>1408</v>
      </c>
      <c r="H458" s="4" t="s">
        <v>118</v>
      </c>
      <c r="I458" s="13">
        <v>80</v>
      </c>
      <c r="J458" s="2" t="s">
        <v>850</v>
      </c>
      <c r="K458" s="10">
        <v>43543</v>
      </c>
      <c r="L458" s="14">
        <v>3.0000000000000001E-3</v>
      </c>
      <c r="M458" s="12" t="s">
        <v>837</v>
      </c>
    </row>
    <row r="459" spans="7:13">
      <c r="G459" s="16" t="s">
        <v>1262</v>
      </c>
      <c r="H459" s="4" t="s">
        <v>307</v>
      </c>
      <c r="I459" s="13">
        <v>318</v>
      </c>
      <c r="J459" s="2" t="s">
        <v>854</v>
      </c>
      <c r="K459" s="10">
        <v>43564</v>
      </c>
      <c r="L459" s="14">
        <v>3.9000000000000003E-3</v>
      </c>
      <c r="M459" s="12" t="s">
        <v>828</v>
      </c>
    </row>
    <row r="460" spans="7:13">
      <c r="G460" s="16" t="s">
        <v>1655</v>
      </c>
      <c r="H460" s="4" t="s">
        <v>645</v>
      </c>
      <c r="I460" s="13">
        <v>147</v>
      </c>
      <c r="J460" s="2" t="s">
        <v>840</v>
      </c>
      <c r="K460" s="10">
        <v>43487</v>
      </c>
      <c r="L460" s="14">
        <v>1.5E-3</v>
      </c>
      <c r="M460" s="12" t="s">
        <v>855</v>
      </c>
    </row>
    <row r="461" spans="7:13">
      <c r="G461" s="16" t="s">
        <v>1438</v>
      </c>
      <c r="H461" s="4" t="s">
        <v>632</v>
      </c>
      <c r="I461" s="13">
        <v>62</v>
      </c>
      <c r="J461" s="2" t="s">
        <v>862</v>
      </c>
      <c r="K461" s="10">
        <v>43494</v>
      </c>
      <c r="L461" s="14">
        <v>4.0000000000000001E-3</v>
      </c>
      <c r="M461" s="12" t="s">
        <v>839</v>
      </c>
    </row>
    <row r="462" spans="7:13">
      <c r="G462" s="16" t="s">
        <v>1231</v>
      </c>
      <c r="H462" s="4" t="s">
        <v>676</v>
      </c>
      <c r="I462" s="13">
        <v>957</v>
      </c>
      <c r="J462" s="2" t="s">
        <v>838</v>
      </c>
      <c r="K462" s="10">
        <v>43487</v>
      </c>
      <c r="L462" s="14">
        <v>1.5E-3</v>
      </c>
      <c r="M462" s="12" t="s">
        <v>837</v>
      </c>
    </row>
    <row r="463" spans="7:13">
      <c r="G463" s="16" t="s">
        <v>1544</v>
      </c>
      <c r="H463" s="4" t="s">
        <v>378</v>
      </c>
      <c r="I463" s="13">
        <v>13034</v>
      </c>
      <c r="J463" s="2" t="s">
        <v>838</v>
      </c>
      <c r="K463" s="10">
        <v>43487</v>
      </c>
      <c r="L463" s="14">
        <v>1.5E-3</v>
      </c>
      <c r="M463" s="12" t="s">
        <v>831</v>
      </c>
    </row>
    <row r="464" spans="7:13">
      <c r="G464" s="16" t="s">
        <v>1274</v>
      </c>
      <c r="H464" s="4" t="s">
        <v>785</v>
      </c>
      <c r="I464" s="13">
        <v>14</v>
      </c>
      <c r="J464" s="2" t="s">
        <v>848</v>
      </c>
      <c r="K464" s="10">
        <v>43480</v>
      </c>
      <c r="L464" s="14">
        <v>1.9E-3</v>
      </c>
      <c r="M464" s="12" t="s">
        <v>837</v>
      </c>
    </row>
    <row r="465" spans="7:13">
      <c r="G465" s="16" t="s">
        <v>1679</v>
      </c>
      <c r="H465" s="4" t="s">
        <v>41</v>
      </c>
      <c r="I465" s="13">
        <v>51</v>
      </c>
      <c r="J465" s="2" t="s">
        <v>848</v>
      </c>
      <c r="K465" s="10">
        <v>43480</v>
      </c>
      <c r="L465" s="14">
        <v>4.0000000000000001E-3</v>
      </c>
      <c r="M465" s="12" t="s">
        <v>828</v>
      </c>
    </row>
    <row r="466" spans="7:13">
      <c r="G466" s="16" t="s">
        <v>1072</v>
      </c>
      <c r="H466" s="4" t="s">
        <v>552</v>
      </c>
      <c r="I466" s="13">
        <v>21</v>
      </c>
      <c r="J466" s="2" t="s">
        <v>848</v>
      </c>
      <c r="K466" s="10">
        <v>43455</v>
      </c>
      <c r="L466" s="14">
        <v>5.0000000000000001E-3</v>
      </c>
      <c r="M466" s="12" t="s">
        <v>849</v>
      </c>
    </row>
    <row r="467" spans="7:13">
      <c r="G467" s="16" t="s">
        <v>1416</v>
      </c>
      <c r="H467" s="4" t="s">
        <v>418</v>
      </c>
      <c r="I467" s="13">
        <v>4632</v>
      </c>
      <c r="J467" s="2" t="s">
        <v>853</v>
      </c>
      <c r="K467" s="10">
        <v>43475</v>
      </c>
      <c r="L467" s="14">
        <v>4.5000000000000005E-3</v>
      </c>
      <c r="M467" s="12" t="s">
        <v>831</v>
      </c>
    </row>
    <row r="468" spans="7:13">
      <c r="G468" s="16" t="s">
        <v>882</v>
      </c>
      <c r="H468" s="4" t="s">
        <v>309</v>
      </c>
      <c r="I468" s="13">
        <v>1317</v>
      </c>
      <c r="J468" s="2" t="s">
        <v>840</v>
      </c>
      <c r="K468" s="10">
        <v>43424</v>
      </c>
      <c r="L468" s="14">
        <v>1.1999999999999999E-3</v>
      </c>
      <c r="M468" s="12" t="s">
        <v>828</v>
      </c>
    </row>
    <row r="469" spans="7:13">
      <c r="G469" s="16" t="s">
        <v>909</v>
      </c>
      <c r="H469" s="4" t="s">
        <v>766</v>
      </c>
      <c r="I469" s="13">
        <v>211</v>
      </c>
      <c r="J469" s="2" t="s">
        <v>840</v>
      </c>
      <c r="K469" s="10">
        <v>43424</v>
      </c>
      <c r="L469" s="14">
        <v>8.9999999999999998E-4</v>
      </c>
      <c r="M469" s="12" t="s">
        <v>828</v>
      </c>
    </row>
    <row r="470" spans="7:13">
      <c r="G470" s="16" t="s">
        <v>1104</v>
      </c>
      <c r="H470" s="4" t="s">
        <v>130</v>
      </c>
      <c r="I470" s="13">
        <v>105</v>
      </c>
      <c r="J470" s="2" t="s">
        <v>854</v>
      </c>
      <c r="K470" s="10">
        <v>43432</v>
      </c>
      <c r="L470" s="14">
        <v>6.0000000000000001E-3</v>
      </c>
      <c r="M470" s="12" t="s">
        <v>837</v>
      </c>
    </row>
    <row r="471" spans="7:13">
      <c r="G471" s="16" t="s">
        <v>1560</v>
      </c>
      <c r="H471" s="4" t="s">
        <v>367</v>
      </c>
      <c r="I471" s="13">
        <v>782</v>
      </c>
      <c r="J471" s="2" t="s">
        <v>867</v>
      </c>
      <c r="K471" s="10">
        <v>43398</v>
      </c>
      <c r="L471" s="14">
        <v>4.0000000000000001E-3</v>
      </c>
      <c r="M471" s="12" t="s">
        <v>839</v>
      </c>
    </row>
    <row r="472" spans="7:13">
      <c r="G472" s="16" t="s">
        <v>1156</v>
      </c>
      <c r="H472" s="4" t="s">
        <v>153</v>
      </c>
      <c r="I472" s="13">
        <v>386</v>
      </c>
      <c r="J472" s="2" t="s">
        <v>856</v>
      </c>
      <c r="K472" s="10">
        <v>43392</v>
      </c>
      <c r="L472" s="14">
        <v>8.9999999999999998E-4</v>
      </c>
      <c r="M472" s="12" t="s">
        <v>831</v>
      </c>
    </row>
    <row r="473" spans="7:13">
      <c r="G473" s="16" t="s">
        <v>1537</v>
      </c>
      <c r="H473" s="4" t="s">
        <v>622</v>
      </c>
      <c r="I473" s="13">
        <v>48</v>
      </c>
      <c r="J473" s="2" t="s">
        <v>838</v>
      </c>
      <c r="K473" s="10">
        <v>43412</v>
      </c>
      <c r="L473" s="14">
        <v>5.0000000000000001E-3</v>
      </c>
      <c r="M473" s="12" t="s">
        <v>828</v>
      </c>
    </row>
    <row r="474" spans="7:13">
      <c r="G474" s="16" t="s">
        <v>1614</v>
      </c>
      <c r="H474" s="4" t="s">
        <v>267</v>
      </c>
      <c r="I474" s="13">
        <v>59</v>
      </c>
      <c r="J474" s="2" t="s">
        <v>848</v>
      </c>
      <c r="K474" s="10">
        <v>43412</v>
      </c>
      <c r="L474" s="14">
        <v>5.0000000000000001E-3</v>
      </c>
      <c r="M474" s="12" t="s">
        <v>828</v>
      </c>
    </row>
    <row r="475" spans="7:13">
      <c r="G475" s="16" t="s">
        <v>929</v>
      </c>
      <c r="H475" s="4" t="s">
        <v>751</v>
      </c>
      <c r="I475" s="13">
        <v>82</v>
      </c>
      <c r="J475" s="2" t="s">
        <v>861</v>
      </c>
      <c r="K475" s="10">
        <v>43389</v>
      </c>
      <c r="L475" s="14">
        <v>5.5000000000000005E-3</v>
      </c>
      <c r="M475" s="12" t="s">
        <v>837</v>
      </c>
    </row>
    <row r="476" spans="7:13">
      <c r="G476" s="16" t="s">
        <v>1235</v>
      </c>
      <c r="H476" s="4" t="s">
        <v>788</v>
      </c>
      <c r="I476" s="13">
        <v>135</v>
      </c>
      <c r="J476" s="2" t="s">
        <v>861</v>
      </c>
      <c r="K476" s="10">
        <v>43389</v>
      </c>
      <c r="L476" s="14">
        <v>6.4000000000000003E-3</v>
      </c>
      <c r="M476" s="12" t="s">
        <v>831</v>
      </c>
    </row>
    <row r="477" spans="7:13">
      <c r="G477" s="16" t="s">
        <v>1316</v>
      </c>
      <c r="H477" s="4" t="s">
        <v>104</v>
      </c>
      <c r="I477" s="13">
        <v>27</v>
      </c>
      <c r="J477" s="2" t="s">
        <v>861</v>
      </c>
      <c r="K477" s="10">
        <v>43361</v>
      </c>
      <c r="L477" s="14">
        <v>4.5000000000000005E-3</v>
      </c>
      <c r="M477" s="12" t="s">
        <v>849</v>
      </c>
    </row>
    <row r="478" spans="7:13">
      <c r="G478" s="16" t="s">
        <v>1382</v>
      </c>
      <c r="H478" s="4" t="s">
        <v>236</v>
      </c>
      <c r="I478" s="13">
        <v>47</v>
      </c>
      <c r="J478" s="2" t="s">
        <v>836</v>
      </c>
      <c r="K478" s="10">
        <v>43361</v>
      </c>
      <c r="L478" s="14">
        <v>4.5000000000000005E-3</v>
      </c>
      <c r="M478" s="12" t="s">
        <v>849</v>
      </c>
    </row>
    <row r="479" spans="7:13">
      <c r="G479" s="16" t="s">
        <v>1268</v>
      </c>
      <c r="H479" s="4" t="s">
        <v>716</v>
      </c>
      <c r="I479" s="13">
        <v>11416</v>
      </c>
      <c r="J479" s="2" t="s">
        <v>848</v>
      </c>
      <c r="K479" s="10">
        <v>43355</v>
      </c>
      <c r="L479" s="14">
        <v>4.5000000000000005E-3</v>
      </c>
      <c r="M479" s="12" t="s">
        <v>831</v>
      </c>
    </row>
    <row r="480" spans="7:13">
      <c r="G480" s="16" t="s">
        <v>1295</v>
      </c>
      <c r="H480" s="4" t="s">
        <v>443</v>
      </c>
      <c r="I480" s="13">
        <v>13113</v>
      </c>
      <c r="J480" s="2" t="s">
        <v>848</v>
      </c>
      <c r="K480" s="10">
        <v>43355</v>
      </c>
      <c r="L480" s="14">
        <v>5.0000000000000001E-3</v>
      </c>
      <c r="M480" s="12" t="s">
        <v>828</v>
      </c>
    </row>
    <row r="481" spans="7:13">
      <c r="G481" s="16" t="s">
        <v>1159</v>
      </c>
      <c r="H481" s="4" t="s">
        <v>514</v>
      </c>
      <c r="I481" s="13">
        <v>1181</v>
      </c>
      <c r="J481" s="2" t="s">
        <v>856</v>
      </c>
      <c r="K481" s="10">
        <v>43342</v>
      </c>
      <c r="L481" s="14">
        <v>2.8999999999999998E-3</v>
      </c>
      <c r="M481" s="12" t="s">
        <v>828</v>
      </c>
    </row>
    <row r="482" spans="7:13">
      <c r="G482" s="16" t="s">
        <v>1433</v>
      </c>
      <c r="H482" s="4" t="s">
        <v>61</v>
      </c>
      <c r="I482" s="13">
        <v>65</v>
      </c>
      <c r="J482" s="2" t="s">
        <v>840</v>
      </c>
      <c r="K482" s="10">
        <v>43378</v>
      </c>
      <c r="L482" s="14">
        <v>2.0000000000000001E-4</v>
      </c>
      <c r="M482" s="12" t="s">
        <v>839</v>
      </c>
    </row>
    <row r="483" spans="7:13">
      <c r="G483" s="16" t="s">
        <v>1171</v>
      </c>
      <c r="H483" s="4" t="s">
        <v>211</v>
      </c>
      <c r="I483" s="13">
        <v>1373</v>
      </c>
      <c r="J483" s="2" t="s">
        <v>854</v>
      </c>
      <c r="K483" s="10">
        <v>43342</v>
      </c>
      <c r="L483" s="14">
        <v>5.0000000000000001E-4</v>
      </c>
      <c r="M483" s="12" t="s">
        <v>831</v>
      </c>
    </row>
    <row r="484" spans="7:13">
      <c r="G484" s="16" t="s">
        <v>1399</v>
      </c>
      <c r="H484" s="4" t="s">
        <v>430</v>
      </c>
      <c r="I484" s="13">
        <v>359</v>
      </c>
      <c r="J484" s="2" t="s">
        <v>861</v>
      </c>
      <c r="K484" s="10">
        <v>43326</v>
      </c>
      <c r="L484" s="14">
        <v>4.5000000000000005E-3</v>
      </c>
      <c r="M484" s="12" t="s">
        <v>849</v>
      </c>
    </row>
    <row r="485" spans="7:13">
      <c r="G485" s="16" t="s">
        <v>1325</v>
      </c>
      <c r="H485" s="4" t="s">
        <v>527</v>
      </c>
      <c r="I485" s="13">
        <v>189</v>
      </c>
      <c r="J485" s="2" t="s">
        <v>840</v>
      </c>
      <c r="K485" s="10">
        <v>43326</v>
      </c>
      <c r="L485" s="14">
        <v>2E-3</v>
      </c>
      <c r="M485" s="12" t="s">
        <v>849</v>
      </c>
    </row>
    <row r="486" spans="7:13">
      <c r="G486" s="16" t="s">
        <v>1209</v>
      </c>
      <c r="H486" s="4" t="s">
        <v>381</v>
      </c>
      <c r="I486" s="13">
        <v>48</v>
      </c>
      <c r="J486" s="2" t="s">
        <v>840</v>
      </c>
      <c r="K486" s="10">
        <v>43326</v>
      </c>
      <c r="L486" s="14">
        <v>5.0000000000000001E-4</v>
      </c>
      <c r="M486" s="12" t="s">
        <v>849</v>
      </c>
    </row>
    <row r="487" spans="7:13">
      <c r="G487" s="16" t="s">
        <v>1067</v>
      </c>
      <c r="H487" s="4" t="s">
        <v>25</v>
      </c>
      <c r="I487" s="13">
        <v>74</v>
      </c>
      <c r="J487" s="2" t="s">
        <v>856</v>
      </c>
      <c r="K487" s="10">
        <v>43355</v>
      </c>
      <c r="L487" s="14">
        <v>3.0000000000000001E-3</v>
      </c>
      <c r="M487" s="12" t="s">
        <v>831</v>
      </c>
    </row>
    <row r="488" spans="7:13">
      <c r="G488" s="16" t="s">
        <v>1403</v>
      </c>
      <c r="H488" s="4" t="s">
        <v>126</v>
      </c>
      <c r="I488" s="13">
        <v>3145</v>
      </c>
      <c r="J488" s="2" t="s">
        <v>856</v>
      </c>
      <c r="K488" s="10">
        <v>43355</v>
      </c>
      <c r="L488" s="14">
        <v>3.0000000000000001E-3</v>
      </c>
      <c r="M488" s="12" t="s">
        <v>831</v>
      </c>
    </row>
    <row r="489" spans="7:13">
      <c r="G489" s="16" t="s">
        <v>1287</v>
      </c>
      <c r="H489" s="4" t="s">
        <v>265</v>
      </c>
      <c r="I489" s="13">
        <v>1109</v>
      </c>
      <c r="J489" s="2" t="s">
        <v>840</v>
      </c>
      <c r="K489" s="10">
        <v>43305</v>
      </c>
      <c r="L489" s="14">
        <v>1.4000000000000002E-3</v>
      </c>
      <c r="M489" s="12" t="s">
        <v>837</v>
      </c>
    </row>
    <row r="490" spans="7:13">
      <c r="G490" s="16" t="s">
        <v>990</v>
      </c>
      <c r="H490" s="4" t="s">
        <v>760</v>
      </c>
      <c r="I490" s="13">
        <v>3121</v>
      </c>
      <c r="J490" s="2" t="s">
        <v>835</v>
      </c>
      <c r="K490" s="10">
        <v>43301</v>
      </c>
      <c r="L490" s="14">
        <v>1.5E-3</v>
      </c>
      <c r="M490" s="12" t="s">
        <v>828</v>
      </c>
    </row>
    <row r="491" spans="7:13">
      <c r="G491" s="16" t="s">
        <v>1143</v>
      </c>
      <c r="H491" s="4" t="s">
        <v>680</v>
      </c>
      <c r="I491" s="13">
        <v>40</v>
      </c>
      <c r="J491" s="2" t="s">
        <v>836</v>
      </c>
      <c r="K491" s="10">
        <v>43292</v>
      </c>
      <c r="L491" s="14">
        <v>2.8999999999999998E-3</v>
      </c>
      <c r="M491" s="12" t="s">
        <v>842</v>
      </c>
    </row>
    <row r="492" spans="7:13">
      <c r="G492" s="16" t="s">
        <v>1163</v>
      </c>
      <c r="H492" s="4" t="s">
        <v>257</v>
      </c>
      <c r="I492" s="13">
        <v>27</v>
      </c>
      <c r="J492" s="2" t="s">
        <v>840</v>
      </c>
      <c r="K492" s="10">
        <v>43286</v>
      </c>
      <c r="L492" s="14">
        <v>1.5E-3</v>
      </c>
      <c r="M492" s="12" t="s">
        <v>842</v>
      </c>
    </row>
    <row r="493" spans="7:13">
      <c r="G493" s="16" t="s">
        <v>1566</v>
      </c>
      <c r="H493" s="4" t="s">
        <v>60</v>
      </c>
      <c r="I493" s="13">
        <v>212</v>
      </c>
      <c r="J493" s="2" t="s">
        <v>848</v>
      </c>
      <c r="K493" s="10">
        <v>43305</v>
      </c>
      <c r="L493" s="14">
        <v>4.5000000000000005E-3</v>
      </c>
      <c r="M493" s="12" t="s">
        <v>831</v>
      </c>
    </row>
    <row r="494" spans="7:13">
      <c r="G494" s="16" t="s">
        <v>1179</v>
      </c>
      <c r="H494" s="4" t="s">
        <v>399</v>
      </c>
      <c r="I494" s="13">
        <v>437</v>
      </c>
      <c r="J494" s="2" t="s">
        <v>848</v>
      </c>
      <c r="K494" s="10">
        <v>43305</v>
      </c>
      <c r="L494" s="14">
        <v>3.0000000000000001E-3</v>
      </c>
      <c r="M494" s="12" t="s">
        <v>837</v>
      </c>
    </row>
    <row r="495" spans="7:13">
      <c r="G495" s="16" t="s">
        <v>1030</v>
      </c>
      <c r="H495" s="4" t="s">
        <v>738</v>
      </c>
      <c r="I495" s="13">
        <v>138</v>
      </c>
      <c r="J495" s="2" t="s">
        <v>848</v>
      </c>
      <c r="K495" s="10">
        <v>43305</v>
      </c>
      <c r="L495" s="14">
        <v>5.0000000000000001E-3</v>
      </c>
      <c r="M495" s="12" t="s">
        <v>828</v>
      </c>
    </row>
    <row r="496" spans="7:13">
      <c r="G496" s="16" t="s">
        <v>1469</v>
      </c>
      <c r="H496" s="4" t="s">
        <v>19</v>
      </c>
      <c r="I496" s="13">
        <v>54</v>
      </c>
      <c r="J496" s="2" t="s">
        <v>857</v>
      </c>
      <c r="K496" s="10">
        <v>43259</v>
      </c>
      <c r="L496" s="14">
        <v>5.0000000000000001E-4</v>
      </c>
      <c r="M496" s="12" t="s">
        <v>839</v>
      </c>
    </row>
    <row r="497" spans="7:13">
      <c r="G497" s="16" t="s">
        <v>1222</v>
      </c>
      <c r="H497" s="4" t="s">
        <v>758</v>
      </c>
      <c r="I497" s="13">
        <v>55</v>
      </c>
      <c r="J497" s="2" t="s">
        <v>857</v>
      </c>
      <c r="K497" s="10">
        <v>43259</v>
      </c>
      <c r="L497" s="14">
        <v>5.0000000000000001E-4</v>
      </c>
      <c r="M497" s="12" t="s">
        <v>839</v>
      </c>
    </row>
    <row r="498" spans="7:13">
      <c r="G498" s="16" t="s">
        <v>1427</v>
      </c>
      <c r="H498" s="4" t="s">
        <v>150</v>
      </c>
      <c r="I498" s="13">
        <v>772</v>
      </c>
      <c r="J498" s="2" t="s">
        <v>853</v>
      </c>
      <c r="K498" s="10">
        <v>43262</v>
      </c>
      <c r="L498" s="14">
        <v>5.5000000000000005E-3</v>
      </c>
      <c r="M498" s="12" t="s">
        <v>831</v>
      </c>
    </row>
    <row r="499" spans="7:13">
      <c r="G499" s="16" t="s">
        <v>1305</v>
      </c>
      <c r="H499" s="4" t="s">
        <v>803</v>
      </c>
      <c r="I499" s="13">
        <v>61</v>
      </c>
      <c r="J499" s="2" t="s">
        <v>857</v>
      </c>
      <c r="K499" s="10">
        <v>43259</v>
      </c>
      <c r="L499" s="14">
        <v>1E-3</v>
      </c>
      <c r="M499" s="12" t="s">
        <v>842</v>
      </c>
    </row>
    <row r="500" spans="7:13">
      <c r="G500" s="16" t="s">
        <v>1658</v>
      </c>
      <c r="H500" s="4" t="s">
        <v>98</v>
      </c>
      <c r="I500" s="13">
        <v>49</v>
      </c>
      <c r="J500" s="2" t="s">
        <v>840</v>
      </c>
      <c r="K500" s="10">
        <v>43231</v>
      </c>
      <c r="L500" s="14">
        <v>2.3E-3</v>
      </c>
      <c r="M500" s="12" t="s">
        <v>842</v>
      </c>
    </row>
    <row r="501" spans="7:13">
      <c r="G501" s="16" t="s">
        <v>1606</v>
      </c>
      <c r="H501" s="4" t="s">
        <v>202</v>
      </c>
      <c r="I501" s="13">
        <v>2093</v>
      </c>
      <c r="J501" s="2" t="s">
        <v>840</v>
      </c>
      <c r="K501" s="10">
        <v>43213</v>
      </c>
      <c r="L501" s="14">
        <v>5.0000000000000001E-4</v>
      </c>
      <c r="M501" s="12" t="s">
        <v>844</v>
      </c>
    </row>
    <row r="502" spans="7:13">
      <c r="G502" s="16" t="s">
        <v>1593</v>
      </c>
      <c r="H502" s="4" t="s">
        <v>743</v>
      </c>
      <c r="I502" s="13">
        <v>78</v>
      </c>
      <c r="J502" s="2" t="s">
        <v>835</v>
      </c>
      <c r="K502" s="10">
        <v>43231</v>
      </c>
      <c r="L502" s="14">
        <v>7.000000000000001E-4</v>
      </c>
      <c r="M502" s="12" t="s">
        <v>837</v>
      </c>
    </row>
    <row r="503" spans="7:13">
      <c r="G503" s="16" t="s">
        <v>1121</v>
      </c>
      <c r="H503" s="4" t="s">
        <v>594</v>
      </c>
      <c r="I503" s="13">
        <v>40</v>
      </c>
      <c r="J503" s="2" t="s">
        <v>835</v>
      </c>
      <c r="K503" s="10">
        <v>43231</v>
      </c>
      <c r="L503" s="14">
        <v>7.000000000000001E-4</v>
      </c>
      <c r="M503" s="12" t="s">
        <v>837</v>
      </c>
    </row>
    <row r="504" spans="7:13">
      <c r="G504" s="16" t="s">
        <v>1049</v>
      </c>
      <c r="H504" s="4" t="s">
        <v>792</v>
      </c>
      <c r="I504" s="13">
        <v>5704</v>
      </c>
      <c r="J504" s="2" t="s">
        <v>840</v>
      </c>
      <c r="K504" s="10">
        <v>43213</v>
      </c>
      <c r="L504" s="14">
        <v>1.2E-4</v>
      </c>
      <c r="M504" s="12" t="s">
        <v>855</v>
      </c>
    </row>
    <row r="505" spans="7:13">
      <c r="G505" s="16" t="s">
        <v>1238</v>
      </c>
      <c r="H505" s="4" t="s">
        <v>394</v>
      </c>
      <c r="I505" s="13">
        <v>5416</v>
      </c>
      <c r="J505" s="2" t="s">
        <v>840</v>
      </c>
      <c r="K505" s="10">
        <v>43189</v>
      </c>
      <c r="L505" s="14">
        <v>3.5999999999999997E-4</v>
      </c>
      <c r="M505" s="12" t="s">
        <v>849</v>
      </c>
    </row>
    <row r="506" spans="7:13">
      <c r="G506" s="16" t="s">
        <v>1489</v>
      </c>
      <c r="H506" s="4" t="s">
        <v>440</v>
      </c>
      <c r="I506" s="13">
        <v>64</v>
      </c>
      <c r="J506" s="2" t="s">
        <v>835</v>
      </c>
      <c r="K506" s="10">
        <v>43203</v>
      </c>
      <c r="L506" s="14">
        <v>7.000000000000001E-4</v>
      </c>
      <c r="M506" s="12" t="s">
        <v>831</v>
      </c>
    </row>
    <row r="507" spans="7:13">
      <c r="G507" s="16" t="s">
        <v>994</v>
      </c>
      <c r="H507" s="4" t="s">
        <v>494</v>
      </c>
      <c r="I507" s="13">
        <v>97</v>
      </c>
      <c r="J507" s="2" t="s">
        <v>840</v>
      </c>
      <c r="K507" s="10">
        <v>43185</v>
      </c>
      <c r="L507" s="14">
        <v>8.9999999999999998E-4</v>
      </c>
      <c r="M507" s="12" t="s">
        <v>842</v>
      </c>
    </row>
    <row r="508" spans="7:13">
      <c r="G508" s="16" t="s">
        <v>1673</v>
      </c>
      <c r="H508" s="4" t="s">
        <v>790</v>
      </c>
      <c r="I508" s="13">
        <v>132</v>
      </c>
      <c r="J508" s="2" t="s">
        <v>840</v>
      </c>
      <c r="K508" s="10">
        <v>43185</v>
      </c>
      <c r="L508" s="14">
        <v>1E-3</v>
      </c>
      <c r="M508" s="12" t="s">
        <v>859</v>
      </c>
    </row>
    <row r="509" spans="7:13">
      <c r="G509" s="16" t="s">
        <v>896</v>
      </c>
      <c r="H509" s="4" t="s">
        <v>199</v>
      </c>
      <c r="I509" s="13">
        <v>1602</v>
      </c>
      <c r="J509" s="2" t="s">
        <v>850</v>
      </c>
      <c r="K509" s="10">
        <v>43207</v>
      </c>
      <c r="L509" s="14">
        <v>2.5000000000000001E-3</v>
      </c>
      <c r="M509" s="12" t="s">
        <v>828</v>
      </c>
    </row>
    <row r="510" spans="7:13">
      <c r="G510" s="16" t="s">
        <v>1610</v>
      </c>
      <c r="H510" s="4" t="s">
        <v>481</v>
      </c>
      <c r="I510" s="13">
        <v>115</v>
      </c>
      <c r="J510" s="2" t="s">
        <v>840</v>
      </c>
      <c r="K510" s="10">
        <v>43185</v>
      </c>
      <c r="L510" s="14">
        <v>5.0000000000000001E-4</v>
      </c>
      <c r="M510" s="12" t="s">
        <v>844</v>
      </c>
    </row>
    <row r="511" spans="7:13">
      <c r="G511" s="16" t="s">
        <v>1019</v>
      </c>
      <c r="H511" s="4" t="s">
        <v>551</v>
      </c>
      <c r="I511" s="13">
        <v>31</v>
      </c>
      <c r="J511" s="2" t="s">
        <v>851</v>
      </c>
      <c r="K511" s="10">
        <v>43179</v>
      </c>
      <c r="L511" s="14">
        <v>5.1000000000000004E-3</v>
      </c>
      <c r="M511" s="12" t="s">
        <v>869</v>
      </c>
    </row>
    <row r="512" spans="7:13">
      <c r="G512" s="16" t="s">
        <v>1192</v>
      </c>
      <c r="H512" s="4" t="s">
        <v>659</v>
      </c>
      <c r="I512" s="13">
        <v>227</v>
      </c>
      <c r="J512" s="2" t="s">
        <v>840</v>
      </c>
      <c r="K512" s="10">
        <v>43185</v>
      </c>
      <c r="L512" s="14">
        <v>5.0000000000000001E-4</v>
      </c>
      <c r="M512" s="12" t="s">
        <v>831</v>
      </c>
    </row>
    <row r="513" spans="7:13">
      <c r="G513" s="16" t="s">
        <v>1203</v>
      </c>
      <c r="H513" s="4" t="s">
        <v>484</v>
      </c>
      <c r="I513" s="13">
        <v>98</v>
      </c>
      <c r="J513" s="2" t="s">
        <v>840</v>
      </c>
      <c r="K513" s="10">
        <v>43185</v>
      </c>
      <c r="L513" s="14">
        <v>8.9999999999999998E-4</v>
      </c>
      <c r="M513" s="12" t="s">
        <v>828</v>
      </c>
    </row>
    <row r="514" spans="7:13">
      <c r="G514" s="16" t="s">
        <v>955</v>
      </c>
      <c r="H514" s="4" t="s">
        <v>308</v>
      </c>
      <c r="I514" s="13">
        <v>14944</v>
      </c>
      <c r="J514" s="2" t="s">
        <v>827</v>
      </c>
      <c r="K514" s="10">
        <v>43189</v>
      </c>
      <c r="L514" s="14">
        <v>1.5E-3</v>
      </c>
      <c r="M514" s="12" t="s">
        <v>828</v>
      </c>
    </row>
    <row r="515" spans="7:13">
      <c r="G515" s="16" t="s">
        <v>1484</v>
      </c>
      <c r="H515" s="4" t="s">
        <v>280</v>
      </c>
      <c r="I515" s="13">
        <v>100</v>
      </c>
      <c r="J515" s="2" t="s">
        <v>840</v>
      </c>
      <c r="K515" s="10">
        <v>43185</v>
      </c>
      <c r="L515" s="14">
        <v>5.0000000000000001E-4</v>
      </c>
      <c r="M515" s="12" t="s">
        <v>837</v>
      </c>
    </row>
    <row r="516" spans="7:13">
      <c r="G516" s="16" t="s">
        <v>1588</v>
      </c>
      <c r="H516" s="4" t="s">
        <v>166</v>
      </c>
      <c r="I516" s="13">
        <v>51</v>
      </c>
      <c r="J516" s="2" t="s">
        <v>832</v>
      </c>
      <c r="K516" s="10">
        <v>43182</v>
      </c>
      <c r="L516" s="14">
        <v>4.5000000000000005E-3</v>
      </c>
      <c r="M516" s="12" t="s">
        <v>831</v>
      </c>
    </row>
    <row r="517" spans="7:13">
      <c r="G517" s="16" t="s">
        <v>1358</v>
      </c>
      <c r="H517" s="4" t="s">
        <v>160</v>
      </c>
      <c r="I517" s="13">
        <v>35</v>
      </c>
      <c r="J517" s="2" t="s">
        <v>832</v>
      </c>
      <c r="K517" s="10">
        <v>43182</v>
      </c>
      <c r="L517" s="14">
        <v>5.8999999999999999E-3</v>
      </c>
      <c r="M517" s="12" t="s">
        <v>837</v>
      </c>
    </row>
    <row r="518" spans="7:13">
      <c r="G518" s="16" t="s">
        <v>1103</v>
      </c>
      <c r="H518" s="4" t="s">
        <v>737</v>
      </c>
      <c r="I518" s="13">
        <v>46</v>
      </c>
      <c r="J518" s="2" t="s">
        <v>861</v>
      </c>
      <c r="K518" s="10">
        <v>43175</v>
      </c>
      <c r="L518" s="14">
        <v>8.9999999999999998E-4</v>
      </c>
      <c r="M518" s="12" t="s">
        <v>855</v>
      </c>
    </row>
    <row r="519" spans="7:13">
      <c r="G519" s="16" t="s">
        <v>1573</v>
      </c>
      <c r="H519" s="4" t="s">
        <v>146</v>
      </c>
      <c r="I519" s="13">
        <v>37</v>
      </c>
      <c r="J519" s="2" t="s">
        <v>836</v>
      </c>
      <c r="K519" s="10">
        <v>43175</v>
      </c>
      <c r="L519" s="14">
        <v>8.9999999999999998E-4</v>
      </c>
      <c r="M519" s="12" t="s">
        <v>855</v>
      </c>
    </row>
    <row r="520" spans="7:13">
      <c r="G520" s="16" t="s">
        <v>949</v>
      </c>
      <c r="H520" s="4" t="s">
        <v>471</v>
      </c>
      <c r="I520" s="13">
        <v>137</v>
      </c>
      <c r="J520" s="2" t="s">
        <v>832</v>
      </c>
      <c r="K520" s="10">
        <v>43168</v>
      </c>
      <c r="L520" s="14">
        <v>5.0000000000000001E-3</v>
      </c>
      <c r="M520" s="12" t="s">
        <v>839</v>
      </c>
    </row>
    <row r="521" spans="7:13">
      <c r="G521" s="16" t="s">
        <v>1507</v>
      </c>
      <c r="H521" s="4" t="s">
        <v>810</v>
      </c>
      <c r="I521" s="13">
        <v>2236</v>
      </c>
      <c r="J521" s="2" t="s">
        <v>845</v>
      </c>
      <c r="K521" s="10">
        <v>43158</v>
      </c>
      <c r="L521" s="14">
        <v>3.0000000000000001E-3</v>
      </c>
      <c r="M521" s="12" t="s">
        <v>837</v>
      </c>
    </row>
    <row r="522" spans="7:13">
      <c r="G522" s="16" t="s">
        <v>923</v>
      </c>
      <c r="H522" s="4" t="s">
        <v>382</v>
      </c>
      <c r="I522" s="13">
        <v>82</v>
      </c>
      <c r="J522" s="2" t="s">
        <v>851</v>
      </c>
      <c r="K522" s="10">
        <v>43158</v>
      </c>
      <c r="L522" s="14">
        <v>4.0000000000000001E-3</v>
      </c>
      <c r="M522" s="12" t="s">
        <v>837</v>
      </c>
    </row>
    <row r="523" spans="7:13">
      <c r="G523" s="16" t="s">
        <v>1205</v>
      </c>
      <c r="H523" s="4" t="s">
        <v>227</v>
      </c>
      <c r="I523" s="13">
        <v>44</v>
      </c>
      <c r="J523" s="2" t="s">
        <v>835</v>
      </c>
      <c r="K523" s="10">
        <v>43138</v>
      </c>
      <c r="L523" s="14">
        <v>5.0000000000000001E-4</v>
      </c>
      <c r="M523" s="12" t="s">
        <v>842</v>
      </c>
    </row>
    <row r="524" spans="7:13">
      <c r="G524" s="16" t="s">
        <v>1240</v>
      </c>
      <c r="H524" s="4" t="s">
        <v>524</v>
      </c>
      <c r="I524" s="13">
        <v>225</v>
      </c>
      <c r="J524" s="2" t="s">
        <v>851</v>
      </c>
      <c r="K524" s="10">
        <v>43140</v>
      </c>
      <c r="L524" s="14">
        <v>3.8E-3</v>
      </c>
      <c r="M524" s="12" t="s">
        <v>828</v>
      </c>
    </row>
    <row r="525" spans="7:13">
      <c r="G525" s="16" t="s">
        <v>919</v>
      </c>
      <c r="H525" s="4" t="s">
        <v>621</v>
      </c>
      <c r="I525" s="13">
        <v>171</v>
      </c>
      <c r="J525" s="2" t="s">
        <v>838</v>
      </c>
      <c r="K525" s="10">
        <v>43138</v>
      </c>
      <c r="L525" s="14">
        <v>4.0000000000000001E-3</v>
      </c>
      <c r="M525" s="12" t="s">
        <v>828</v>
      </c>
    </row>
    <row r="526" spans="7:13">
      <c r="G526" s="16" t="s">
        <v>1006</v>
      </c>
      <c r="H526" s="4" t="s">
        <v>141</v>
      </c>
      <c r="I526" s="13">
        <v>70</v>
      </c>
      <c r="J526" s="2" t="s">
        <v>838</v>
      </c>
      <c r="K526" s="10">
        <v>43138</v>
      </c>
      <c r="L526" s="14">
        <v>4.0000000000000001E-3</v>
      </c>
      <c r="M526" s="12" t="s">
        <v>828</v>
      </c>
    </row>
    <row r="527" spans="7:13">
      <c r="G527" s="16" t="s">
        <v>981</v>
      </c>
      <c r="H527" s="4" t="s">
        <v>755</v>
      </c>
      <c r="I527" s="13">
        <v>113</v>
      </c>
      <c r="J527" s="2" t="s">
        <v>838</v>
      </c>
      <c r="K527" s="10">
        <v>43138</v>
      </c>
      <c r="L527" s="14">
        <v>3.0000000000000001E-3</v>
      </c>
      <c r="M527" s="12" t="s">
        <v>831</v>
      </c>
    </row>
    <row r="528" spans="7:13">
      <c r="G528" s="16" t="s">
        <v>1653</v>
      </c>
      <c r="H528" s="4" t="s">
        <v>272</v>
      </c>
      <c r="I528" s="13">
        <v>13</v>
      </c>
      <c r="J528" s="2" t="s">
        <v>848</v>
      </c>
      <c r="K528" s="10">
        <v>43091</v>
      </c>
      <c r="L528" s="14">
        <v>1.9E-3</v>
      </c>
      <c r="M528" s="12" t="s">
        <v>837</v>
      </c>
    </row>
    <row r="529" spans="7:13">
      <c r="G529" s="16" t="s">
        <v>1081</v>
      </c>
      <c r="H529" s="4" t="s">
        <v>360</v>
      </c>
      <c r="I529" s="13">
        <v>10</v>
      </c>
      <c r="J529" s="2" t="s">
        <v>848</v>
      </c>
      <c r="K529" s="10">
        <v>43091</v>
      </c>
      <c r="L529" s="14">
        <v>1.9E-3</v>
      </c>
      <c r="M529" s="12" t="s">
        <v>837</v>
      </c>
    </row>
    <row r="530" spans="7:13">
      <c r="G530" s="16" t="s">
        <v>1518</v>
      </c>
      <c r="H530" s="4" t="s">
        <v>695</v>
      </c>
      <c r="I530" s="13">
        <v>30</v>
      </c>
      <c r="J530" s="2" t="s">
        <v>848</v>
      </c>
      <c r="K530" s="10">
        <v>43091</v>
      </c>
      <c r="L530" s="14">
        <v>1.9E-3</v>
      </c>
      <c r="M530" s="12" t="s">
        <v>837</v>
      </c>
    </row>
    <row r="531" spans="7:13">
      <c r="G531" s="16" t="s">
        <v>1080</v>
      </c>
      <c r="H531" s="4" t="s">
        <v>73</v>
      </c>
      <c r="I531" s="13">
        <v>15</v>
      </c>
      <c r="J531" s="2" t="s">
        <v>848</v>
      </c>
      <c r="K531" s="10">
        <v>43091</v>
      </c>
      <c r="L531" s="14">
        <v>1.9E-3</v>
      </c>
      <c r="M531" s="12" t="s">
        <v>837</v>
      </c>
    </row>
    <row r="532" spans="7:13">
      <c r="G532" s="16" t="s">
        <v>1336</v>
      </c>
      <c r="H532" s="4" t="s">
        <v>536</v>
      </c>
      <c r="I532" s="13">
        <v>275</v>
      </c>
      <c r="J532" s="2" t="s">
        <v>853</v>
      </c>
      <c r="K532" s="10">
        <v>43082</v>
      </c>
      <c r="L532" s="14">
        <v>5.0000000000000001E-3</v>
      </c>
      <c r="M532" s="12" t="s">
        <v>842</v>
      </c>
    </row>
    <row r="533" spans="7:13">
      <c r="G533" s="16" t="s">
        <v>1283</v>
      </c>
      <c r="H533" s="4" t="s">
        <v>404</v>
      </c>
      <c r="I533" s="13">
        <v>91</v>
      </c>
      <c r="J533" s="2" t="s">
        <v>838</v>
      </c>
      <c r="K533" s="10">
        <v>43082</v>
      </c>
      <c r="L533" s="14">
        <v>1E-3</v>
      </c>
      <c r="M533" s="12" t="s">
        <v>859</v>
      </c>
    </row>
    <row r="534" spans="7:13">
      <c r="G534" s="16" t="s">
        <v>1099</v>
      </c>
      <c r="H534" s="4" t="s">
        <v>259</v>
      </c>
      <c r="I534" s="13">
        <v>38</v>
      </c>
      <c r="J534" s="2" t="s">
        <v>848</v>
      </c>
      <c r="K534" s="10">
        <v>43077</v>
      </c>
      <c r="L534" s="14">
        <v>1.9E-3</v>
      </c>
      <c r="M534" s="12" t="s">
        <v>837</v>
      </c>
    </row>
    <row r="535" spans="7:13">
      <c r="G535" s="16" t="s">
        <v>1639</v>
      </c>
      <c r="H535" s="4" t="s">
        <v>375</v>
      </c>
      <c r="I535" s="13">
        <v>41</v>
      </c>
      <c r="J535" s="2" t="s">
        <v>848</v>
      </c>
      <c r="K535" s="10">
        <v>43077</v>
      </c>
      <c r="L535" s="14">
        <v>1.9E-3</v>
      </c>
      <c r="M535" s="12" t="s">
        <v>837</v>
      </c>
    </row>
    <row r="536" spans="7:13">
      <c r="G536" s="16" t="s">
        <v>1569</v>
      </c>
      <c r="H536" s="4" t="s">
        <v>164</v>
      </c>
      <c r="I536" s="13">
        <v>43</v>
      </c>
      <c r="J536" s="2" t="s">
        <v>848</v>
      </c>
      <c r="K536" s="10">
        <v>43077</v>
      </c>
      <c r="L536" s="14">
        <v>1.9E-3</v>
      </c>
      <c r="M536" s="12" t="s">
        <v>837</v>
      </c>
    </row>
    <row r="537" spans="7:13">
      <c r="G537" s="16" t="s">
        <v>1513</v>
      </c>
      <c r="H537" s="4" t="s">
        <v>311</v>
      </c>
      <c r="I537" s="13">
        <v>44</v>
      </c>
      <c r="J537" s="2" t="s">
        <v>848</v>
      </c>
      <c r="K537" s="10">
        <v>43077</v>
      </c>
      <c r="L537" s="14">
        <v>1.9E-3</v>
      </c>
      <c r="M537" s="12" t="s">
        <v>837</v>
      </c>
    </row>
    <row r="538" spans="7:13">
      <c r="G538" s="16" t="s">
        <v>965</v>
      </c>
      <c r="H538" s="4" t="s">
        <v>330</v>
      </c>
      <c r="I538" s="13">
        <v>26</v>
      </c>
      <c r="J538" s="2" t="s">
        <v>848</v>
      </c>
      <c r="K538" s="10">
        <v>43077</v>
      </c>
      <c r="L538" s="14">
        <v>1.9E-3</v>
      </c>
      <c r="M538" s="12" t="s">
        <v>837</v>
      </c>
    </row>
    <row r="539" spans="7:13">
      <c r="G539" s="16" t="s">
        <v>1131</v>
      </c>
      <c r="H539" s="4" t="s">
        <v>629</v>
      </c>
      <c r="I539" s="13">
        <v>620</v>
      </c>
      <c r="J539" s="2" t="s">
        <v>841</v>
      </c>
      <c r="K539" s="10">
        <v>43069</v>
      </c>
      <c r="L539" s="14">
        <v>3.4999999999999996E-3</v>
      </c>
      <c r="M539" s="12" t="s">
        <v>831</v>
      </c>
    </row>
    <row r="540" spans="7:13">
      <c r="G540" s="16" t="s">
        <v>878</v>
      </c>
      <c r="H540" s="4" t="s">
        <v>135</v>
      </c>
      <c r="I540" s="13">
        <v>749</v>
      </c>
      <c r="J540" s="2" t="s">
        <v>832</v>
      </c>
      <c r="K540" s="10">
        <v>43082</v>
      </c>
      <c r="L540" s="14">
        <v>1.1999999999999999E-3</v>
      </c>
      <c r="M540" s="12" t="s">
        <v>831</v>
      </c>
    </row>
    <row r="541" spans="7:13">
      <c r="G541" s="16" t="s">
        <v>1574</v>
      </c>
      <c r="H541" s="4" t="s">
        <v>625</v>
      </c>
      <c r="I541" s="13">
        <v>504</v>
      </c>
      <c r="J541" s="2" t="s">
        <v>836</v>
      </c>
      <c r="K541" s="10">
        <v>43048</v>
      </c>
      <c r="L541" s="14">
        <v>7.000000000000001E-4</v>
      </c>
      <c r="M541" s="12" t="s">
        <v>837</v>
      </c>
    </row>
    <row r="542" spans="7:13">
      <c r="G542" s="16" t="s">
        <v>1050</v>
      </c>
      <c r="H542" s="4" t="s">
        <v>461</v>
      </c>
      <c r="I542" s="13">
        <v>39</v>
      </c>
      <c r="J542" s="2" t="s">
        <v>838</v>
      </c>
      <c r="K542" s="10">
        <v>43041</v>
      </c>
      <c r="L542" s="14">
        <v>3.0000000000000001E-3</v>
      </c>
      <c r="M542" s="12" t="s">
        <v>837</v>
      </c>
    </row>
    <row r="543" spans="7:13">
      <c r="G543" s="16" t="s">
        <v>983</v>
      </c>
      <c r="H543" s="4" t="s">
        <v>802</v>
      </c>
      <c r="I543" s="13">
        <v>51</v>
      </c>
      <c r="J543" s="2" t="s">
        <v>829</v>
      </c>
      <c r="K543" s="10">
        <v>43048</v>
      </c>
      <c r="L543" s="14">
        <v>4.5000000000000005E-3</v>
      </c>
      <c r="M543" s="12" t="s">
        <v>831</v>
      </c>
    </row>
    <row r="544" spans="7:13">
      <c r="G544" s="16" t="s">
        <v>1491</v>
      </c>
      <c r="H544" s="4" t="s">
        <v>734</v>
      </c>
      <c r="I544" s="13">
        <v>243</v>
      </c>
      <c r="J544" s="2" t="s">
        <v>832</v>
      </c>
      <c r="K544" s="10">
        <v>43048</v>
      </c>
      <c r="L544" s="14">
        <v>4.5000000000000005E-3</v>
      </c>
      <c r="M544" s="12" t="s">
        <v>831</v>
      </c>
    </row>
    <row r="545" spans="7:13">
      <c r="G545" s="16" t="s">
        <v>1395</v>
      </c>
      <c r="H545" s="4" t="s">
        <v>355</v>
      </c>
      <c r="I545" s="13">
        <v>45</v>
      </c>
      <c r="J545" s="2" t="s">
        <v>838</v>
      </c>
      <c r="K545" s="10">
        <v>43025</v>
      </c>
      <c r="L545" s="14">
        <v>2.3E-3</v>
      </c>
      <c r="M545" s="12" t="s">
        <v>842</v>
      </c>
    </row>
    <row r="546" spans="7:13">
      <c r="G546" s="16" t="s">
        <v>1376</v>
      </c>
      <c r="H546" s="4" t="s">
        <v>793</v>
      </c>
      <c r="I546" s="13">
        <v>117</v>
      </c>
      <c r="J546" s="2" t="s">
        <v>853</v>
      </c>
      <c r="K546" s="10">
        <v>43025</v>
      </c>
      <c r="L546" s="14">
        <v>5.0000000000000001E-3</v>
      </c>
      <c r="M546" s="12" t="s">
        <v>839</v>
      </c>
    </row>
    <row r="547" spans="7:13">
      <c r="G547" s="16" t="s">
        <v>1083</v>
      </c>
      <c r="H547" s="4" t="s">
        <v>254</v>
      </c>
      <c r="I547" s="13">
        <v>62</v>
      </c>
      <c r="J547" s="2" t="s">
        <v>838</v>
      </c>
      <c r="K547" s="10">
        <v>43025</v>
      </c>
      <c r="L547" s="14">
        <v>3.0000000000000001E-3</v>
      </c>
      <c r="M547" s="12" t="s">
        <v>831</v>
      </c>
    </row>
    <row r="548" spans="7:13">
      <c r="G548" s="16" t="s">
        <v>1665</v>
      </c>
      <c r="H548" s="4" t="s">
        <v>791</v>
      </c>
      <c r="I548" s="13">
        <v>293</v>
      </c>
      <c r="J548" s="2" t="s">
        <v>838</v>
      </c>
      <c r="K548" s="10">
        <v>43025</v>
      </c>
      <c r="L548" s="14">
        <v>3.0000000000000001E-3</v>
      </c>
      <c r="M548" s="12" t="s">
        <v>831</v>
      </c>
    </row>
    <row r="549" spans="7:13">
      <c r="G549" s="16" t="s">
        <v>1330</v>
      </c>
      <c r="H549" s="4" t="s">
        <v>217</v>
      </c>
      <c r="I549" s="13">
        <v>58</v>
      </c>
      <c r="J549" s="2" t="s">
        <v>835</v>
      </c>
      <c r="K549" s="10">
        <v>43004</v>
      </c>
      <c r="L549" s="14">
        <v>1.3000000000000002E-3</v>
      </c>
      <c r="M549" s="12" t="s">
        <v>842</v>
      </c>
    </row>
    <row r="550" spans="7:13">
      <c r="G550" s="16" t="s">
        <v>1308</v>
      </c>
      <c r="H550" s="4" t="s">
        <v>767</v>
      </c>
      <c r="I550" s="13">
        <v>4651</v>
      </c>
      <c r="J550" s="2" t="s">
        <v>840</v>
      </c>
      <c r="K550" s="10">
        <v>43048</v>
      </c>
      <c r="L550" s="14">
        <v>8.9999999999999998E-4</v>
      </c>
      <c r="M550" s="12" t="s">
        <v>831</v>
      </c>
    </row>
    <row r="551" spans="7:13">
      <c r="G551" s="16" t="s">
        <v>1056</v>
      </c>
      <c r="H551" s="4" t="s">
        <v>510</v>
      </c>
      <c r="I551" s="13">
        <v>2480</v>
      </c>
      <c r="J551" s="2" t="s">
        <v>840</v>
      </c>
      <c r="K551" s="10">
        <v>43060</v>
      </c>
      <c r="L551" s="14">
        <v>5.0000000000000001E-4</v>
      </c>
      <c r="M551" s="12" t="s">
        <v>831</v>
      </c>
    </row>
    <row r="552" spans="7:13">
      <c r="G552" s="16" t="s">
        <v>1147</v>
      </c>
      <c r="H552" s="4" t="s">
        <v>370</v>
      </c>
      <c r="I552" s="13">
        <v>1022</v>
      </c>
      <c r="J552" s="2" t="s">
        <v>861</v>
      </c>
      <c r="K552" s="10">
        <v>42978</v>
      </c>
      <c r="L552" s="14">
        <v>6.0000000000000001E-3</v>
      </c>
      <c r="M552" s="12" t="s">
        <v>837</v>
      </c>
    </row>
    <row r="553" spans="7:13">
      <c r="G553" s="16" t="s">
        <v>1563</v>
      </c>
      <c r="H553" s="4" t="s">
        <v>210</v>
      </c>
      <c r="I553" s="13">
        <v>56</v>
      </c>
      <c r="J553" s="2" t="s">
        <v>827</v>
      </c>
      <c r="K553" s="10">
        <v>42978</v>
      </c>
      <c r="L553" s="14">
        <v>2.8999999999999998E-3</v>
      </c>
      <c r="M553" s="12" t="s">
        <v>828</v>
      </c>
    </row>
    <row r="554" spans="7:13">
      <c r="G554" s="16" t="s">
        <v>1152</v>
      </c>
      <c r="H554" s="4" t="s">
        <v>99</v>
      </c>
      <c r="I554" s="13">
        <v>57</v>
      </c>
      <c r="J554" s="2" t="s">
        <v>827</v>
      </c>
      <c r="K554" s="10">
        <v>42978</v>
      </c>
      <c r="L554" s="14">
        <v>2.8999999999999998E-3</v>
      </c>
      <c r="M554" s="12" t="s">
        <v>828</v>
      </c>
    </row>
    <row r="555" spans="7:13">
      <c r="G555" s="16" t="s">
        <v>1414</v>
      </c>
      <c r="H555" s="4" t="s">
        <v>563</v>
      </c>
      <c r="I555" s="13">
        <v>1449</v>
      </c>
      <c r="J555" s="2" t="s">
        <v>840</v>
      </c>
      <c r="K555" s="10">
        <v>42978</v>
      </c>
      <c r="L555" s="14">
        <v>1.5E-3</v>
      </c>
      <c r="M555" s="12" t="s">
        <v>828</v>
      </c>
    </row>
    <row r="556" spans="7:13">
      <c r="G556" s="16" t="s">
        <v>1155</v>
      </c>
      <c r="H556" s="4" t="s">
        <v>215</v>
      </c>
      <c r="I556" s="13">
        <v>180</v>
      </c>
      <c r="J556" s="2" t="s">
        <v>832</v>
      </c>
      <c r="K556" s="10">
        <v>42970</v>
      </c>
      <c r="L556" s="14">
        <v>6.9999999999999993E-3</v>
      </c>
      <c r="M556" s="12" t="s">
        <v>839</v>
      </c>
    </row>
    <row r="557" spans="7:13">
      <c r="G557" s="16" t="s">
        <v>1313</v>
      </c>
      <c r="H557" s="4" t="s">
        <v>69</v>
      </c>
      <c r="I557" s="13">
        <v>265</v>
      </c>
      <c r="J557" s="2" t="s">
        <v>853</v>
      </c>
      <c r="K557" s="10">
        <v>42964</v>
      </c>
      <c r="L557" s="14">
        <v>3.0000000000000001E-3</v>
      </c>
      <c r="M557" s="12" t="s">
        <v>831</v>
      </c>
    </row>
    <row r="558" spans="7:13">
      <c r="G558" s="16" t="s">
        <v>881</v>
      </c>
      <c r="H558" s="4" t="s">
        <v>750</v>
      </c>
      <c r="I558" s="13">
        <v>428</v>
      </c>
      <c r="J558" s="2" t="s">
        <v>854</v>
      </c>
      <c r="K558" s="10">
        <v>42957</v>
      </c>
      <c r="L558" s="14">
        <v>3.0000000000000001E-3</v>
      </c>
      <c r="M558" s="12" t="s">
        <v>831</v>
      </c>
    </row>
    <row r="559" spans="7:13">
      <c r="G559" s="16" t="s">
        <v>1215</v>
      </c>
      <c r="H559" s="4" t="s">
        <v>129</v>
      </c>
      <c r="I559" s="13">
        <v>274</v>
      </c>
      <c r="J559" s="2" t="s">
        <v>853</v>
      </c>
      <c r="K559" s="10">
        <v>42964</v>
      </c>
      <c r="L559" s="14">
        <v>4.0000000000000001E-3</v>
      </c>
      <c r="M559" s="12" t="s">
        <v>837</v>
      </c>
    </row>
    <row r="560" spans="7:13">
      <c r="G560" s="16" t="s">
        <v>1298</v>
      </c>
      <c r="H560" s="4" t="s">
        <v>226</v>
      </c>
      <c r="I560" s="13">
        <v>121</v>
      </c>
      <c r="J560" s="2" t="s">
        <v>853</v>
      </c>
      <c r="K560" s="10">
        <v>42948</v>
      </c>
      <c r="L560" s="14">
        <v>4.0000000000000001E-3</v>
      </c>
      <c r="M560" s="12" t="s">
        <v>828</v>
      </c>
    </row>
    <row r="561" spans="7:13">
      <c r="G561" s="16" t="s">
        <v>1079</v>
      </c>
      <c r="H561" s="4" t="s">
        <v>266</v>
      </c>
      <c r="I561" s="13">
        <v>1620</v>
      </c>
      <c r="J561" s="2" t="s">
        <v>853</v>
      </c>
      <c r="K561" s="10">
        <v>42948</v>
      </c>
      <c r="L561" s="14">
        <v>4.0000000000000001E-3</v>
      </c>
      <c r="M561" s="12" t="s">
        <v>828</v>
      </c>
    </row>
    <row r="562" spans="7:13">
      <c r="G562" s="16" t="s">
        <v>1261</v>
      </c>
      <c r="H562" s="4" t="s">
        <v>329</v>
      </c>
      <c r="I562" s="13">
        <v>36</v>
      </c>
      <c r="J562" s="2" t="s">
        <v>836</v>
      </c>
      <c r="K562" s="10">
        <v>42948</v>
      </c>
      <c r="L562" s="14">
        <v>6.0000000000000001E-3</v>
      </c>
      <c r="M562" s="12" t="s">
        <v>837</v>
      </c>
    </row>
    <row r="563" spans="7:13">
      <c r="G563" s="16" t="s">
        <v>1530</v>
      </c>
      <c r="H563" s="4" t="s">
        <v>422</v>
      </c>
      <c r="I563" s="13">
        <v>51</v>
      </c>
      <c r="J563" s="2" t="s">
        <v>838</v>
      </c>
      <c r="K563" s="10">
        <v>42927</v>
      </c>
      <c r="L563" s="14">
        <v>3.0000000000000001E-3</v>
      </c>
      <c r="M563" s="12" t="s">
        <v>831</v>
      </c>
    </row>
    <row r="564" spans="7:13">
      <c r="G564" s="16" t="s">
        <v>1443</v>
      </c>
      <c r="H564" s="4" t="s">
        <v>172</v>
      </c>
      <c r="I564" s="13">
        <v>66</v>
      </c>
      <c r="J564" s="2" t="s">
        <v>838</v>
      </c>
      <c r="K564" s="10">
        <v>42927</v>
      </c>
      <c r="L564" s="14">
        <v>3.0000000000000001E-3</v>
      </c>
      <c r="M564" s="12" t="s">
        <v>831</v>
      </c>
    </row>
    <row r="565" spans="7:13">
      <c r="G565" s="16" t="s">
        <v>1327</v>
      </c>
      <c r="H565" s="4" t="s">
        <v>808</v>
      </c>
      <c r="I565" s="13">
        <v>67</v>
      </c>
      <c r="J565" s="2" t="s">
        <v>838</v>
      </c>
      <c r="K565" s="10">
        <v>42927</v>
      </c>
      <c r="L565" s="14">
        <v>3.0000000000000001E-3</v>
      </c>
      <c r="M565" s="12" t="s">
        <v>831</v>
      </c>
    </row>
    <row r="566" spans="7:13">
      <c r="G566" s="16" t="s">
        <v>1044</v>
      </c>
      <c r="H566" s="4" t="s">
        <v>619</v>
      </c>
      <c r="I566" s="13">
        <v>3606</v>
      </c>
      <c r="J566" s="2" t="s">
        <v>835</v>
      </c>
      <c r="K566" s="10">
        <v>42915</v>
      </c>
      <c r="L566" s="14">
        <v>1.5E-3</v>
      </c>
      <c r="M566" s="12" t="s">
        <v>831</v>
      </c>
    </row>
    <row r="567" spans="7:13">
      <c r="G567" s="16" t="s">
        <v>1278</v>
      </c>
      <c r="H567" s="4" t="s">
        <v>320</v>
      </c>
      <c r="I567" s="13">
        <v>28673</v>
      </c>
      <c r="J567" s="2" t="s">
        <v>835</v>
      </c>
      <c r="K567" s="10">
        <v>42915</v>
      </c>
      <c r="L567" s="14">
        <v>4.4999999999999999E-4</v>
      </c>
      <c r="M567" s="12" t="s">
        <v>831</v>
      </c>
    </row>
    <row r="568" spans="7:13">
      <c r="G568" s="16" t="s">
        <v>1111</v>
      </c>
      <c r="H568" s="4" t="s">
        <v>482</v>
      </c>
      <c r="I568" s="13">
        <v>354</v>
      </c>
      <c r="J568" s="2" t="s">
        <v>835</v>
      </c>
      <c r="K568" s="10">
        <v>42915</v>
      </c>
      <c r="L568" s="14">
        <v>8.0000000000000004E-4</v>
      </c>
      <c r="M568" s="12" t="s">
        <v>839</v>
      </c>
    </row>
    <row r="569" spans="7:13">
      <c r="G569" s="16" t="s">
        <v>1340</v>
      </c>
      <c r="H569" s="4" t="s">
        <v>273</v>
      </c>
      <c r="I569" s="13">
        <v>6060</v>
      </c>
      <c r="J569" s="2" t="s">
        <v>835</v>
      </c>
      <c r="K569" s="10">
        <v>42915</v>
      </c>
      <c r="L569" s="14">
        <v>7.000000000000001E-4</v>
      </c>
      <c r="M569" s="12" t="s">
        <v>828</v>
      </c>
    </row>
    <row r="570" spans="7:13">
      <c r="G570" s="16" t="s">
        <v>1292</v>
      </c>
      <c r="H570" s="4" t="s">
        <v>569</v>
      </c>
      <c r="I570" s="13">
        <v>251</v>
      </c>
      <c r="J570" s="2" t="s">
        <v>835</v>
      </c>
      <c r="K570" s="10">
        <v>42915</v>
      </c>
      <c r="L570" s="14">
        <v>7.000000000000001E-4</v>
      </c>
      <c r="M570" s="12" t="s">
        <v>837</v>
      </c>
    </row>
    <row r="571" spans="7:13">
      <c r="G571" s="16" t="s">
        <v>1326</v>
      </c>
      <c r="H571" s="4" t="s">
        <v>593</v>
      </c>
      <c r="I571" s="13">
        <v>1761</v>
      </c>
      <c r="J571" s="2" t="s">
        <v>835</v>
      </c>
      <c r="K571" s="10">
        <v>42915</v>
      </c>
      <c r="L571" s="14">
        <v>7.000000000000001E-4</v>
      </c>
      <c r="M571" s="12" t="s">
        <v>837</v>
      </c>
    </row>
    <row r="572" spans="7:13">
      <c r="G572" s="16" t="s">
        <v>1501</v>
      </c>
      <c r="H572" s="4" t="s">
        <v>149</v>
      </c>
      <c r="I572" s="13">
        <v>79</v>
      </c>
      <c r="J572" s="2" t="s">
        <v>838</v>
      </c>
      <c r="K572" s="10">
        <v>42927</v>
      </c>
      <c r="L572" s="14">
        <v>1.9E-3</v>
      </c>
      <c r="M572" s="12" t="s">
        <v>839</v>
      </c>
    </row>
    <row r="573" spans="7:13">
      <c r="G573" s="16" t="s">
        <v>1650</v>
      </c>
      <c r="H573" s="4" t="s">
        <v>88</v>
      </c>
      <c r="I573" s="13">
        <v>71</v>
      </c>
      <c r="J573" s="2" t="s">
        <v>838</v>
      </c>
      <c r="K573" s="10">
        <v>42927</v>
      </c>
      <c r="L573" s="14">
        <v>1.9E-3</v>
      </c>
      <c r="M573" s="12" t="s">
        <v>839</v>
      </c>
    </row>
    <row r="574" spans="7:13">
      <c r="G574" s="16" t="s">
        <v>996</v>
      </c>
      <c r="H574" s="4" t="s">
        <v>49</v>
      </c>
      <c r="I574" s="13">
        <v>164</v>
      </c>
      <c r="J574" s="2" t="s">
        <v>829</v>
      </c>
      <c r="K574" s="10">
        <v>42899</v>
      </c>
      <c r="L574" s="14">
        <v>5.5000000000000005E-3</v>
      </c>
      <c r="M574" s="12" t="s">
        <v>831</v>
      </c>
    </row>
    <row r="575" spans="7:13">
      <c r="G575" s="16" t="s">
        <v>1064</v>
      </c>
      <c r="H575" s="4" t="s">
        <v>348</v>
      </c>
      <c r="I575" s="13">
        <v>352</v>
      </c>
      <c r="J575" s="2" t="s">
        <v>829</v>
      </c>
      <c r="K575" s="10">
        <v>42899</v>
      </c>
      <c r="L575" s="14">
        <v>3.4999999999999996E-3</v>
      </c>
      <c r="M575" s="12" t="s">
        <v>831</v>
      </c>
    </row>
    <row r="576" spans="7:13">
      <c r="G576" s="16" t="s">
        <v>1289</v>
      </c>
      <c r="H576" s="4" t="s">
        <v>775</v>
      </c>
      <c r="I576" s="13">
        <v>973</v>
      </c>
      <c r="J576" s="2" t="s">
        <v>840</v>
      </c>
      <c r="K576" s="10">
        <v>42902</v>
      </c>
      <c r="L576" s="14">
        <v>1.8E-3</v>
      </c>
      <c r="M576" s="12" t="s">
        <v>837</v>
      </c>
    </row>
    <row r="577" spans="7:13">
      <c r="G577" s="16" t="s">
        <v>1625</v>
      </c>
      <c r="H577" s="4" t="s">
        <v>579</v>
      </c>
      <c r="I577" s="13">
        <v>76</v>
      </c>
      <c r="J577" s="2" t="s">
        <v>838</v>
      </c>
      <c r="K577" s="10">
        <v>42923</v>
      </c>
      <c r="L577" s="14">
        <v>3.0000000000000001E-3</v>
      </c>
      <c r="M577" s="12" t="s">
        <v>837</v>
      </c>
    </row>
    <row r="578" spans="7:13">
      <c r="G578" s="16" t="s">
        <v>1257</v>
      </c>
      <c r="H578" s="4" t="s">
        <v>437</v>
      </c>
      <c r="I578" s="13">
        <v>620</v>
      </c>
      <c r="J578" s="2" t="s">
        <v>832</v>
      </c>
      <c r="K578" s="10">
        <v>42871</v>
      </c>
      <c r="L578" s="14">
        <v>3.0000000000000001E-3</v>
      </c>
      <c r="M578" s="12" t="s">
        <v>842</v>
      </c>
    </row>
    <row r="579" spans="7:13">
      <c r="G579" s="16" t="s">
        <v>1601</v>
      </c>
      <c r="H579" s="4" t="s">
        <v>85</v>
      </c>
      <c r="I579" s="13">
        <v>70</v>
      </c>
      <c r="J579" s="2" t="s">
        <v>853</v>
      </c>
      <c r="K579" s="10">
        <v>42871</v>
      </c>
      <c r="L579" s="14">
        <v>3.0000000000000001E-3</v>
      </c>
      <c r="M579" s="12" t="s">
        <v>842</v>
      </c>
    </row>
    <row r="580" spans="7:13">
      <c r="G580" s="16" t="s">
        <v>940</v>
      </c>
      <c r="H580" s="4" t="s">
        <v>550</v>
      </c>
      <c r="I580" s="13">
        <v>257</v>
      </c>
      <c r="J580" s="2" t="s">
        <v>853</v>
      </c>
      <c r="K580" s="10">
        <v>42871</v>
      </c>
      <c r="L580" s="14">
        <v>2.6000000000000003E-3</v>
      </c>
      <c r="M580" s="12" t="s">
        <v>831</v>
      </c>
    </row>
    <row r="581" spans="7:13">
      <c r="G581" s="16" t="s">
        <v>1117</v>
      </c>
      <c r="H581" s="4" t="s">
        <v>65</v>
      </c>
      <c r="I581" s="13">
        <v>78</v>
      </c>
      <c r="J581" s="2" t="s">
        <v>853</v>
      </c>
      <c r="K581" s="10">
        <v>42871</v>
      </c>
      <c r="L581" s="14">
        <v>4.0000000000000001E-3</v>
      </c>
      <c r="M581" s="12" t="s">
        <v>828</v>
      </c>
    </row>
    <row r="582" spans="7:13">
      <c r="G582" s="16" t="s">
        <v>975</v>
      </c>
      <c r="H582" s="4" t="s">
        <v>498</v>
      </c>
      <c r="I582" s="13">
        <v>794</v>
      </c>
      <c r="J582" s="2" t="s">
        <v>861</v>
      </c>
      <c r="K582" s="10">
        <v>42850</v>
      </c>
      <c r="L582" s="14">
        <v>2.1999999999999998E-4</v>
      </c>
      <c r="M582" s="12" t="s">
        <v>828</v>
      </c>
    </row>
    <row r="583" spans="7:13">
      <c r="G583" s="16" t="s">
        <v>1661</v>
      </c>
      <c r="H583" s="4" t="s">
        <v>313</v>
      </c>
      <c r="I583" s="13">
        <v>29</v>
      </c>
      <c r="J583" s="2" t="s">
        <v>856</v>
      </c>
      <c r="K583" s="10">
        <v>42845</v>
      </c>
      <c r="L583" s="14">
        <v>5.0000000000000001E-3</v>
      </c>
      <c r="M583" s="12" t="s">
        <v>837</v>
      </c>
    </row>
    <row r="584" spans="7:13">
      <c r="G584" s="16" t="s">
        <v>1404</v>
      </c>
      <c r="H584" s="4" t="s">
        <v>182</v>
      </c>
      <c r="I584" s="13">
        <v>119</v>
      </c>
      <c r="J584" s="2" t="s">
        <v>856</v>
      </c>
      <c r="K584" s="10">
        <v>42845</v>
      </c>
      <c r="L584" s="14">
        <v>5.0000000000000001E-3</v>
      </c>
      <c r="M584" s="12" t="s">
        <v>837</v>
      </c>
    </row>
    <row r="585" spans="7:13">
      <c r="G585" s="16" t="s">
        <v>1478</v>
      </c>
      <c r="H585" s="4" t="s">
        <v>359</v>
      </c>
      <c r="I585" s="13">
        <v>20</v>
      </c>
      <c r="J585" s="2" t="s">
        <v>856</v>
      </c>
      <c r="K585" s="10">
        <v>42845</v>
      </c>
      <c r="L585" s="14">
        <v>4.0000000000000001E-3</v>
      </c>
      <c r="M585" s="12" t="s">
        <v>837</v>
      </c>
    </row>
    <row r="586" spans="7:13">
      <c r="G586" s="16" t="s">
        <v>1378</v>
      </c>
      <c r="H586" s="4" t="s">
        <v>673</v>
      </c>
      <c r="I586" s="13">
        <v>107</v>
      </c>
      <c r="J586" s="2" t="s">
        <v>856</v>
      </c>
      <c r="K586" s="10">
        <v>42845</v>
      </c>
      <c r="L586" s="14">
        <v>4.0000000000000001E-3</v>
      </c>
      <c r="M586" s="12" t="s">
        <v>837</v>
      </c>
    </row>
    <row r="587" spans="7:13">
      <c r="G587" s="16" t="s">
        <v>1648</v>
      </c>
      <c r="H587" s="4" t="s">
        <v>708</v>
      </c>
      <c r="I587" s="13">
        <v>27</v>
      </c>
      <c r="J587" s="2" t="s">
        <v>838</v>
      </c>
      <c r="K587" s="10">
        <v>42822</v>
      </c>
      <c r="L587" s="14">
        <v>2.3E-3</v>
      </c>
      <c r="M587" s="12" t="s">
        <v>842</v>
      </c>
    </row>
    <row r="588" spans="7:13">
      <c r="G588" s="16" t="s">
        <v>1428</v>
      </c>
      <c r="H588" s="4" t="s">
        <v>243</v>
      </c>
      <c r="I588" s="13">
        <v>1031</v>
      </c>
      <c r="J588" s="2" t="s">
        <v>848</v>
      </c>
      <c r="K588" s="10">
        <v>42822</v>
      </c>
      <c r="L588" s="14">
        <v>8.9999999999999998E-4</v>
      </c>
      <c r="M588" s="12" t="s">
        <v>831</v>
      </c>
    </row>
    <row r="589" spans="7:13">
      <c r="G589" s="16" t="s">
        <v>879</v>
      </c>
      <c r="H589" s="4" t="s">
        <v>46</v>
      </c>
      <c r="I589" s="13">
        <v>103</v>
      </c>
      <c r="J589" s="2" t="s">
        <v>848</v>
      </c>
      <c r="K589" s="10">
        <v>42822</v>
      </c>
      <c r="L589" s="14">
        <v>4.5000000000000005E-3</v>
      </c>
      <c r="M589" s="12" t="s">
        <v>831</v>
      </c>
    </row>
    <row r="590" spans="7:13">
      <c r="G590" s="16" t="s">
        <v>1579</v>
      </c>
      <c r="H590" s="4" t="s">
        <v>694</v>
      </c>
      <c r="I590" s="13">
        <v>50</v>
      </c>
      <c r="J590" s="2" t="s">
        <v>848</v>
      </c>
      <c r="K590" s="10">
        <v>42822</v>
      </c>
      <c r="L590" s="14">
        <v>4.5000000000000005E-3</v>
      </c>
      <c r="M590" s="12" t="s">
        <v>831</v>
      </c>
    </row>
    <row r="591" spans="7:13">
      <c r="G591" s="16" t="s">
        <v>1666</v>
      </c>
      <c r="H591" s="4" t="s">
        <v>111</v>
      </c>
      <c r="I591" s="13">
        <v>352</v>
      </c>
      <c r="J591" s="2" t="s">
        <v>848</v>
      </c>
      <c r="K591" s="10">
        <v>42822</v>
      </c>
      <c r="L591" s="14">
        <v>4.5000000000000005E-3</v>
      </c>
      <c r="M591" s="12" t="s">
        <v>831</v>
      </c>
    </row>
    <row r="592" spans="7:13">
      <c r="G592" s="16" t="s">
        <v>1460</v>
      </c>
      <c r="H592" s="4" t="s">
        <v>650</v>
      </c>
      <c r="I592" s="13">
        <v>255</v>
      </c>
      <c r="J592" s="2" t="s">
        <v>848</v>
      </c>
      <c r="K592" s="10">
        <v>42822</v>
      </c>
      <c r="L592" s="14">
        <v>4.5000000000000005E-3</v>
      </c>
      <c r="M592" s="12" t="s">
        <v>831</v>
      </c>
    </row>
    <row r="593" spans="7:13">
      <c r="G593" s="16" t="s">
        <v>1557</v>
      </c>
      <c r="H593" s="4" t="s">
        <v>258</v>
      </c>
      <c r="I593" s="13">
        <v>549</v>
      </c>
      <c r="J593" s="2" t="s">
        <v>838</v>
      </c>
      <c r="K593" s="10">
        <v>42839</v>
      </c>
      <c r="L593" s="14">
        <v>2E-3</v>
      </c>
      <c r="M593" s="12" t="s">
        <v>837</v>
      </c>
    </row>
    <row r="594" spans="7:13">
      <c r="G594" s="16" t="s">
        <v>1600</v>
      </c>
      <c r="H594" s="4" t="s">
        <v>608</v>
      </c>
      <c r="I594" s="13">
        <v>177</v>
      </c>
      <c r="J594" s="2" t="s">
        <v>832</v>
      </c>
      <c r="K594" s="10">
        <v>42815</v>
      </c>
      <c r="L594" s="14">
        <v>0</v>
      </c>
      <c r="M594" s="12" t="s">
        <v>839</v>
      </c>
    </row>
    <row r="595" spans="7:13">
      <c r="G595" s="16" t="s">
        <v>968</v>
      </c>
      <c r="H595" s="4" t="s">
        <v>14</v>
      </c>
      <c r="I595" s="13">
        <v>51</v>
      </c>
      <c r="J595" s="2" t="s">
        <v>832</v>
      </c>
      <c r="K595" s="10">
        <v>42732</v>
      </c>
      <c r="L595" s="14">
        <v>5.0000000000000001E-3</v>
      </c>
      <c r="M595" s="12" t="s">
        <v>839</v>
      </c>
    </row>
    <row r="596" spans="7:13">
      <c r="G596" s="16" t="s">
        <v>1465</v>
      </c>
      <c r="H596" s="4" t="s">
        <v>93</v>
      </c>
      <c r="I596" s="13">
        <v>343</v>
      </c>
      <c r="J596" s="2" t="s">
        <v>850</v>
      </c>
      <c r="K596" s="10">
        <v>42731</v>
      </c>
      <c r="L596" s="14">
        <v>4.5000000000000005E-3</v>
      </c>
      <c r="M596" s="12" t="s">
        <v>831</v>
      </c>
    </row>
    <row r="597" spans="7:13">
      <c r="G597" s="16" t="s">
        <v>911</v>
      </c>
      <c r="H597" s="4" t="s">
        <v>503</v>
      </c>
      <c r="I597" s="13">
        <v>749</v>
      </c>
      <c r="J597" s="2" t="s">
        <v>850</v>
      </c>
      <c r="K597" s="10">
        <v>42731</v>
      </c>
      <c r="L597" s="14">
        <v>4.5000000000000005E-3</v>
      </c>
      <c r="M597" s="12" t="s">
        <v>831</v>
      </c>
    </row>
    <row r="598" spans="7:13">
      <c r="G598" s="16" t="s">
        <v>1185</v>
      </c>
      <c r="H598" s="4" t="s">
        <v>768</v>
      </c>
      <c r="I598" s="13">
        <v>294</v>
      </c>
      <c r="J598" s="2" t="s">
        <v>850</v>
      </c>
      <c r="K598" s="10">
        <v>42731</v>
      </c>
      <c r="L598" s="14">
        <v>4.5000000000000005E-3</v>
      </c>
      <c r="M598" s="12" t="s">
        <v>831</v>
      </c>
    </row>
    <row r="599" spans="7:13">
      <c r="G599" s="16" t="s">
        <v>1431</v>
      </c>
      <c r="H599" s="4" t="s">
        <v>96</v>
      </c>
      <c r="I599" s="13">
        <v>656</v>
      </c>
      <c r="J599" s="2" t="s">
        <v>850</v>
      </c>
      <c r="K599" s="10">
        <v>42731</v>
      </c>
      <c r="L599" s="14">
        <v>2.5000000000000001E-3</v>
      </c>
      <c r="M599" s="12" t="s">
        <v>831</v>
      </c>
    </row>
    <row r="600" spans="7:13">
      <c r="G600" s="16" t="s">
        <v>1012</v>
      </c>
      <c r="H600" s="4" t="s">
        <v>392</v>
      </c>
      <c r="I600" s="13">
        <v>806</v>
      </c>
      <c r="J600" s="2" t="s">
        <v>829</v>
      </c>
      <c r="K600" s="10">
        <v>42731</v>
      </c>
      <c r="L600" s="14">
        <v>3.4999999999999996E-3</v>
      </c>
      <c r="M600" s="12" t="s">
        <v>831</v>
      </c>
    </row>
    <row r="601" spans="7:13">
      <c r="G601" s="16" t="s">
        <v>1644</v>
      </c>
      <c r="H601" s="4" t="s">
        <v>634</v>
      </c>
      <c r="I601" s="13">
        <v>60</v>
      </c>
      <c r="J601" s="2" t="s">
        <v>838</v>
      </c>
      <c r="K601" s="10">
        <v>42741</v>
      </c>
      <c r="L601" s="14">
        <v>2.8999999999999998E-3</v>
      </c>
      <c r="M601" s="12" t="s">
        <v>828</v>
      </c>
    </row>
    <row r="602" spans="7:13">
      <c r="G602" s="16" t="s">
        <v>930</v>
      </c>
      <c r="H602" s="4" t="s">
        <v>641</v>
      </c>
      <c r="I602" s="13">
        <v>231</v>
      </c>
      <c r="J602" s="2" t="s">
        <v>850</v>
      </c>
      <c r="K602" s="10">
        <v>42731</v>
      </c>
      <c r="L602" s="14">
        <v>5.0000000000000001E-4</v>
      </c>
      <c r="M602" s="12" t="s">
        <v>828</v>
      </c>
    </row>
    <row r="603" spans="7:13">
      <c r="G603" s="16" t="s">
        <v>1146</v>
      </c>
      <c r="H603" s="4" t="s">
        <v>581</v>
      </c>
      <c r="I603" s="13">
        <v>76</v>
      </c>
      <c r="J603" s="2" t="s">
        <v>850</v>
      </c>
      <c r="K603" s="10">
        <v>42731</v>
      </c>
      <c r="L603" s="14">
        <v>5.0000000000000001E-4</v>
      </c>
      <c r="M603" s="12" t="s">
        <v>828</v>
      </c>
    </row>
    <row r="604" spans="7:13">
      <c r="G604" s="16" t="s">
        <v>1302</v>
      </c>
      <c r="H604" s="4" t="s">
        <v>224</v>
      </c>
      <c r="I604" s="13">
        <v>197</v>
      </c>
      <c r="J604" s="2" t="s">
        <v>848</v>
      </c>
      <c r="K604" s="10">
        <v>42719</v>
      </c>
      <c r="L604" s="14">
        <v>4.0000000000000001E-3</v>
      </c>
      <c r="M604" s="12" t="s">
        <v>828</v>
      </c>
    </row>
    <row r="605" spans="7:13">
      <c r="G605" s="16" t="s">
        <v>1368</v>
      </c>
      <c r="H605" s="4" t="s">
        <v>669</v>
      </c>
      <c r="I605" s="13">
        <v>35</v>
      </c>
      <c r="J605" s="2" t="s">
        <v>848</v>
      </c>
      <c r="K605" s="10">
        <v>42719</v>
      </c>
      <c r="L605" s="14">
        <v>4.0000000000000001E-3</v>
      </c>
      <c r="M605" s="12" t="s">
        <v>828</v>
      </c>
    </row>
    <row r="606" spans="7:13">
      <c r="G606" s="16" t="s">
        <v>924</v>
      </c>
      <c r="H606" s="4" t="s">
        <v>564</v>
      </c>
      <c r="I606" s="13">
        <v>252</v>
      </c>
      <c r="J606" s="2" t="s">
        <v>832</v>
      </c>
      <c r="K606" s="10">
        <v>42682</v>
      </c>
      <c r="L606" s="14">
        <v>4.7000000000000002E-3</v>
      </c>
      <c r="M606" s="12" t="s">
        <v>831</v>
      </c>
    </row>
    <row r="607" spans="7:13">
      <c r="G607" s="16" t="s">
        <v>1315</v>
      </c>
      <c r="H607" s="4" t="s">
        <v>189</v>
      </c>
      <c r="I607" s="13">
        <v>38</v>
      </c>
      <c r="J607" s="2" t="s">
        <v>832</v>
      </c>
      <c r="K607" s="10">
        <v>42682</v>
      </c>
      <c r="L607" s="14">
        <v>5.0000000000000001E-3</v>
      </c>
      <c r="M607" s="12" t="s">
        <v>842</v>
      </c>
    </row>
    <row r="608" spans="7:13">
      <c r="G608" s="16" t="s">
        <v>1128</v>
      </c>
      <c r="H608" s="4" t="s">
        <v>101</v>
      </c>
      <c r="I608" s="13">
        <v>443</v>
      </c>
      <c r="J608" s="2" t="s">
        <v>832</v>
      </c>
      <c r="K608" s="10">
        <v>42675</v>
      </c>
      <c r="L608" s="14">
        <v>6.9999999999999993E-3</v>
      </c>
      <c r="M608" s="12" t="s">
        <v>839</v>
      </c>
    </row>
    <row r="609" spans="7:13">
      <c r="G609" s="16" t="s">
        <v>1387</v>
      </c>
      <c r="H609" s="4" t="s">
        <v>414</v>
      </c>
      <c r="I609" s="13">
        <v>134</v>
      </c>
      <c r="J609" s="2" t="s">
        <v>830</v>
      </c>
      <c r="K609" s="10">
        <v>42636</v>
      </c>
      <c r="L609" s="14">
        <v>3.4999999999999996E-3</v>
      </c>
      <c r="M609" s="12" t="s">
        <v>837</v>
      </c>
    </row>
    <row r="610" spans="7:13">
      <c r="G610" s="16" t="s">
        <v>945</v>
      </c>
      <c r="H610" s="4" t="s">
        <v>700</v>
      </c>
      <c r="I610" s="13">
        <v>64</v>
      </c>
      <c r="J610" s="2" t="s">
        <v>848</v>
      </c>
      <c r="K610" s="10">
        <v>42636</v>
      </c>
      <c r="L610" s="14">
        <v>5.0000000000000001E-4</v>
      </c>
      <c r="M610" s="12" t="s">
        <v>837</v>
      </c>
    </row>
    <row r="611" spans="7:13">
      <c r="G611" s="16" t="s">
        <v>1451</v>
      </c>
      <c r="H611" s="4" t="s">
        <v>789</v>
      </c>
      <c r="I611" s="13">
        <v>79</v>
      </c>
      <c r="J611" s="2" t="s">
        <v>861</v>
      </c>
      <c r="K611" s="10">
        <v>42625</v>
      </c>
      <c r="L611" s="14">
        <v>4.5999999999999999E-3</v>
      </c>
      <c r="M611" s="12" t="s">
        <v>855</v>
      </c>
    </row>
    <row r="612" spans="7:13">
      <c r="G612" s="16" t="s">
        <v>1595</v>
      </c>
      <c r="H612" s="4" t="s">
        <v>389</v>
      </c>
      <c r="I612" s="13">
        <v>35</v>
      </c>
      <c r="J612" s="2" t="s">
        <v>836</v>
      </c>
      <c r="K612" s="10">
        <v>42625</v>
      </c>
      <c r="L612" s="14">
        <v>4.5999999999999999E-3</v>
      </c>
      <c r="M612" s="12" t="s">
        <v>855</v>
      </c>
    </row>
    <row r="613" spans="7:13">
      <c r="G613" s="16" t="s">
        <v>988</v>
      </c>
      <c r="H613" s="4" t="s">
        <v>107</v>
      </c>
      <c r="I613" s="13">
        <v>67</v>
      </c>
      <c r="J613" s="2" t="s">
        <v>836</v>
      </c>
      <c r="K613" s="10">
        <v>42635</v>
      </c>
      <c r="L613" s="14">
        <v>4.5999999999999999E-3</v>
      </c>
      <c r="M613" s="12" t="s">
        <v>855</v>
      </c>
    </row>
    <row r="614" spans="7:13">
      <c r="G614" s="16" t="s">
        <v>1462</v>
      </c>
      <c r="H614" s="4" t="s">
        <v>639</v>
      </c>
      <c r="I614" s="13">
        <v>74</v>
      </c>
      <c r="J614" s="2" t="s">
        <v>836</v>
      </c>
      <c r="K614" s="10">
        <v>42635</v>
      </c>
      <c r="L614" s="14">
        <v>5.9999999999999995E-4</v>
      </c>
      <c r="M614" s="12" t="s">
        <v>842</v>
      </c>
    </row>
    <row r="615" spans="7:13">
      <c r="G615" s="16" t="s">
        <v>1678</v>
      </c>
      <c r="H615" s="4" t="s">
        <v>665</v>
      </c>
      <c r="I615" s="13">
        <v>79</v>
      </c>
      <c r="J615" s="2" t="s">
        <v>861</v>
      </c>
      <c r="K615" s="10">
        <v>42642</v>
      </c>
      <c r="L615" s="14">
        <v>5.9999999999999995E-4</v>
      </c>
      <c r="M615" s="12" t="s">
        <v>842</v>
      </c>
    </row>
    <row r="616" spans="7:13">
      <c r="G616" s="16" t="s">
        <v>1082</v>
      </c>
      <c r="H616" s="4" t="s">
        <v>502</v>
      </c>
      <c r="I616" s="13">
        <v>21</v>
      </c>
      <c r="J616" s="2" t="s">
        <v>845</v>
      </c>
      <c r="K616" s="10">
        <v>42657</v>
      </c>
      <c r="L616" s="14">
        <v>3.4999999999999996E-3</v>
      </c>
      <c r="M616" s="12" t="s">
        <v>837</v>
      </c>
    </row>
    <row r="617" spans="7:13">
      <c r="G617" s="16" t="s">
        <v>1466</v>
      </c>
      <c r="H617" s="4" t="s">
        <v>623</v>
      </c>
      <c r="I617" s="13">
        <v>21</v>
      </c>
      <c r="J617" s="2" t="s">
        <v>845</v>
      </c>
      <c r="K617" s="10">
        <v>42657</v>
      </c>
      <c r="L617" s="14">
        <v>3.4999999999999996E-3</v>
      </c>
      <c r="M617" s="12" t="s">
        <v>837</v>
      </c>
    </row>
    <row r="618" spans="7:13">
      <c r="G618" s="16" t="s">
        <v>1206</v>
      </c>
      <c r="H618" s="4" t="s">
        <v>108</v>
      </c>
      <c r="I618" s="13">
        <v>873</v>
      </c>
      <c r="J618" s="2" t="s">
        <v>836</v>
      </c>
      <c r="K618" s="10">
        <v>42635</v>
      </c>
      <c r="L618" s="14">
        <v>2.1999999999999998E-4</v>
      </c>
      <c r="M618" s="12" t="s">
        <v>828</v>
      </c>
    </row>
    <row r="619" spans="7:13">
      <c r="G619" s="16" t="s">
        <v>1589</v>
      </c>
      <c r="H619" s="4" t="s">
        <v>613</v>
      </c>
      <c r="I619" s="13">
        <v>14591</v>
      </c>
      <c r="J619" s="2" t="s">
        <v>836</v>
      </c>
      <c r="K619" s="10">
        <v>42635</v>
      </c>
      <c r="L619" s="14">
        <v>6.4000000000000003E-3</v>
      </c>
      <c r="M619" s="12" t="s">
        <v>831</v>
      </c>
    </row>
    <row r="620" spans="7:13">
      <c r="G620" s="16" t="s">
        <v>1149</v>
      </c>
      <c r="H620" s="4" t="s">
        <v>736</v>
      </c>
      <c r="I620" s="13">
        <v>64</v>
      </c>
      <c r="J620" s="2" t="s">
        <v>840</v>
      </c>
      <c r="K620" s="10">
        <v>42633</v>
      </c>
      <c r="L620" s="14">
        <v>2.5000000000000001E-3</v>
      </c>
      <c r="M620" s="12" t="s">
        <v>831</v>
      </c>
    </row>
    <row r="621" spans="7:13">
      <c r="G621" s="16" t="s">
        <v>898</v>
      </c>
      <c r="H621" s="4" t="s">
        <v>445</v>
      </c>
      <c r="I621" s="13">
        <v>214</v>
      </c>
      <c r="J621" s="2" t="s">
        <v>836</v>
      </c>
      <c r="K621" s="10">
        <v>42635</v>
      </c>
      <c r="L621" s="14">
        <v>6.0000000000000001E-3</v>
      </c>
      <c r="M621" s="12" t="s">
        <v>837</v>
      </c>
    </row>
    <row r="622" spans="7:13">
      <c r="G622" s="16" t="s">
        <v>1113</v>
      </c>
      <c r="H622" s="4" t="s">
        <v>260</v>
      </c>
      <c r="I622" s="13">
        <v>150</v>
      </c>
      <c r="J622" s="2" t="s">
        <v>836</v>
      </c>
      <c r="K622" s="10">
        <v>42625</v>
      </c>
      <c r="L622" s="14">
        <v>6.0000000000000001E-3</v>
      </c>
      <c r="M622" s="12" t="s">
        <v>837</v>
      </c>
    </row>
    <row r="623" spans="7:13">
      <c r="G623" s="16" t="s">
        <v>1115</v>
      </c>
      <c r="H623" s="4" t="s">
        <v>177</v>
      </c>
      <c r="I623" s="13">
        <v>188</v>
      </c>
      <c r="J623" s="2" t="s">
        <v>861</v>
      </c>
      <c r="K623" s="10">
        <v>42625</v>
      </c>
      <c r="L623" s="14">
        <v>6.0000000000000001E-3</v>
      </c>
      <c r="M623" s="12" t="s">
        <v>837</v>
      </c>
    </row>
    <row r="624" spans="7:13">
      <c r="G624" s="16" t="s">
        <v>1562</v>
      </c>
      <c r="H624" s="4" t="s">
        <v>277</v>
      </c>
      <c r="I624" s="13">
        <v>17</v>
      </c>
      <c r="J624" s="2" t="s">
        <v>840</v>
      </c>
      <c r="K624" s="10">
        <v>42633</v>
      </c>
      <c r="L624" s="14">
        <v>2.5000000000000001E-3</v>
      </c>
      <c r="M624" s="12" t="s">
        <v>828</v>
      </c>
    </row>
    <row r="625" spans="7:13">
      <c r="G625" s="16" t="s">
        <v>1119</v>
      </c>
      <c r="H625" s="4" t="s">
        <v>528</v>
      </c>
      <c r="I625" s="13">
        <v>134</v>
      </c>
      <c r="J625" s="2" t="s">
        <v>830</v>
      </c>
      <c r="K625" s="10">
        <v>42593</v>
      </c>
      <c r="L625" s="14">
        <v>2E-3</v>
      </c>
      <c r="M625" s="12" t="s">
        <v>842</v>
      </c>
    </row>
    <row r="626" spans="7:13">
      <c r="G626" s="16" t="s">
        <v>1181</v>
      </c>
      <c r="H626" s="4" t="s">
        <v>84</v>
      </c>
      <c r="I626" s="13">
        <v>64</v>
      </c>
      <c r="J626" s="2" t="s">
        <v>845</v>
      </c>
      <c r="K626" s="10">
        <v>42593</v>
      </c>
      <c r="L626" s="14">
        <v>2.3E-3</v>
      </c>
      <c r="M626" s="12" t="s">
        <v>842</v>
      </c>
    </row>
    <row r="627" spans="7:13">
      <c r="G627" s="16" t="s">
        <v>1629</v>
      </c>
      <c r="H627" s="4" t="s">
        <v>58</v>
      </c>
      <c r="I627" s="13">
        <v>3033</v>
      </c>
      <c r="J627" s="2" t="s">
        <v>832</v>
      </c>
      <c r="K627" s="10">
        <v>42599</v>
      </c>
      <c r="L627" s="14">
        <v>3.0000000000000001E-3</v>
      </c>
      <c r="M627" s="12" t="s">
        <v>831</v>
      </c>
    </row>
    <row r="628" spans="7:13">
      <c r="G628" s="16" t="s">
        <v>1429</v>
      </c>
      <c r="H628" s="4" t="s">
        <v>744</v>
      </c>
      <c r="I628" s="13">
        <v>4157</v>
      </c>
      <c r="J628" s="2" t="s">
        <v>836</v>
      </c>
      <c r="K628" s="10">
        <v>42592</v>
      </c>
      <c r="L628" s="14">
        <v>6.4000000000000003E-3</v>
      </c>
      <c r="M628" s="12" t="s">
        <v>831</v>
      </c>
    </row>
    <row r="629" spans="7:13">
      <c r="G629" s="16" t="s">
        <v>1153</v>
      </c>
      <c r="H629" s="4" t="s">
        <v>585</v>
      </c>
      <c r="I629" s="13">
        <v>198</v>
      </c>
      <c r="J629" s="2" t="s">
        <v>836</v>
      </c>
      <c r="K629" s="10">
        <v>42592</v>
      </c>
      <c r="L629" s="14">
        <v>3.2000000000000002E-3</v>
      </c>
      <c r="M629" s="12" t="s">
        <v>828</v>
      </c>
    </row>
    <row r="630" spans="7:13">
      <c r="G630" s="16" t="s">
        <v>1317</v>
      </c>
      <c r="H630" s="4" t="s">
        <v>521</v>
      </c>
      <c r="I630" s="13">
        <v>181</v>
      </c>
      <c r="J630" s="2" t="s">
        <v>832</v>
      </c>
      <c r="K630" s="10">
        <v>42592</v>
      </c>
      <c r="L630" s="14">
        <v>2.1000000000000001E-4</v>
      </c>
      <c r="M630" s="12" t="s">
        <v>837</v>
      </c>
    </row>
    <row r="631" spans="7:13">
      <c r="G631" s="16" t="s">
        <v>1137</v>
      </c>
      <c r="H631" s="4" t="s">
        <v>799</v>
      </c>
      <c r="I631" s="13">
        <v>311</v>
      </c>
      <c r="J631" s="2" t="s">
        <v>854</v>
      </c>
      <c r="K631" s="10">
        <v>42552</v>
      </c>
      <c r="L631" s="14">
        <v>4.0000000000000001E-3</v>
      </c>
      <c r="M631" s="12" t="s">
        <v>828</v>
      </c>
    </row>
    <row r="632" spans="7:13">
      <c r="G632" s="16" t="s">
        <v>1036</v>
      </c>
      <c r="H632" s="4" t="s">
        <v>465</v>
      </c>
      <c r="I632" s="13">
        <v>2563</v>
      </c>
      <c r="J632" s="2" t="s">
        <v>832</v>
      </c>
      <c r="K632" s="10">
        <v>42552</v>
      </c>
      <c r="L632" s="14">
        <v>6.9999999999999993E-3</v>
      </c>
      <c r="M632" s="12" t="s">
        <v>839</v>
      </c>
    </row>
    <row r="633" spans="7:13">
      <c r="G633" s="16" t="s">
        <v>895</v>
      </c>
      <c r="H633" s="4" t="s">
        <v>611</v>
      </c>
      <c r="I633" s="13">
        <v>385</v>
      </c>
      <c r="J633" s="2" t="s">
        <v>832</v>
      </c>
      <c r="K633" s="10">
        <v>42537</v>
      </c>
      <c r="L633" s="14">
        <v>3.4999999999999996E-3</v>
      </c>
      <c r="M633" s="12" t="s">
        <v>828</v>
      </c>
    </row>
    <row r="634" spans="7:13">
      <c r="G634" s="16" t="s">
        <v>1556</v>
      </c>
      <c r="H634" s="4" t="s">
        <v>338</v>
      </c>
      <c r="I634" s="13">
        <v>135</v>
      </c>
      <c r="J634" s="2" t="s">
        <v>843</v>
      </c>
      <c r="K634" s="10">
        <v>42552</v>
      </c>
      <c r="L634" s="14">
        <v>3.4999999999999996E-3</v>
      </c>
      <c r="M634" s="12" t="s">
        <v>828</v>
      </c>
    </row>
    <row r="635" spans="7:13">
      <c r="G635" s="16" t="s">
        <v>1396</v>
      </c>
      <c r="H635" s="4" t="s">
        <v>643</v>
      </c>
      <c r="I635" s="13">
        <v>870</v>
      </c>
      <c r="J635" s="2" t="s">
        <v>832</v>
      </c>
      <c r="K635" s="10">
        <v>42552</v>
      </c>
      <c r="L635" s="14">
        <v>3.4999999999999996E-3</v>
      </c>
      <c r="M635" s="12" t="s">
        <v>828</v>
      </c>
    </row>
    <row r="636" spans="7:13">
      <c r="G636" s="16" t="s">
        <v>1635</v>
      </c>
      <c r="H636" s="4" t="s">
        <v>420</v>
      </c>
      <c r="I636" s="13">
        <v>43</v>
      </c>
      <c r="J636" s="2" t="s">
        <v>845</v>
      </c>
      <c r="K636" s="10">
        <v>42503</v>
      </c>
      <c r="L636" s="14">
        <v>3.0000000000000001E-3</v>
      </c>
      <c r="M636" s="12" t="s">
        <v>831</v>
      </c>
    </row>
    <row r="637" spans="7:13">
      <c r="G637" s="16" t="s">
        <v>1533</v>
      </c>
      <c r="H637" s="4" t="s">
        <v>388</v>
      </c>
      <c r="I637" s="13">
        <v>42</v>
      </c>
      <c r="J637" s="2" t="s">
        <v>845</v>
      </c>
      <c r="K637" s="10">
        <v>42503</v>
      </c>
      <c r="L637" s="14">
        <v>3.0000000000000001E-3</v>
      </c>
      <c r="M637" s="12" t="s">
        <v>831</v>
      </c>
    </row>
    <row r="638" spans="7:13">
      <c r="G638" s="16" t="s">
        <v>941</v>
      </c>
      <c r="H638" s="4" t="s">
        <v>302</v>
      </c>
      <c r="I638" s="13">
        <v>70</v>
      </c>
      <c r="J638" s="2" t="s">
        <v>845</v>
      </c>
      <c r="K638" s="10">
        <v>42503</v>
      </c>
      <c r="L638" s="14">
        <v>3.0000000000000001E-3</v>
      </c>
      <c r="M638" s="12" t="s">
        <v>831</v>
      </c>
    </row>
    <row r="639" spans="7:13">
      <c r="G639" s="16" t="s">
        <v>1294</v>
      </c>
      <c r="H639" s="4" t="s">
        <v>310</v>
      </c>
      <c r="I639" s="13">
        <v>1135</v>
      </c>
      <c r="J639" s="2" t="s">
        <v>845</v>
      </c>
      <c r="K639" s="10">
        <v>42503</v>
      </c>
      <c r="L639" s="14">
        <v>4.5000000000000005E-3</v>
      </c>
      <c r="M639" s="12" t="s">
        <v>831</v>
      </c>
    </row>
    <row r="640" spans="7:13">
      <c r="G640" s="16" t="s">
        <v>1369</v>
      </c>
      <c r="H640" s="4" t="s">
        <v>18</v>
      </c>
      <c r="I640" s="13">
        <v>42</v>
      </c>
      <c r="J640" s="2" t="s">
        <v>848</v>
      </c>
      <c r="K640" s="10">
        <v>42503</v>
      </c>
      <c r="L640" s="14">
        <v>6.8999999999999999E-3</v>
      </c>
      <c r="M640" s="12" t="s">
        <v>828</v>
      </c>
    </row>
    <row r="641" spans="7:13">
      <c r="G641" s="16" t="s">
        <v>1546</v>
      </c>
      <c r="H641" s="4" t="s">
        <v>346</v>
      </c>
      <c r="I641" s="13">
        <v>315</v>
      </c>
      <c r="J641" s="2" t="s">
        <v>848</v>
      </c>
      <c r="K641" s="10">
        <v>42503</v>
      </c>
      <c r="L641" s="14">
        <v>6.8999999999999999E-3</v>
      </c>
      <c r="M641" s="12" t="s">
        <v>828</v>
      </c>
    </row>
    <row r="642" spans="7:13">
      <c r="G642" s="16" t="s">
        <v>966</v>
      </c>
      <c r="H642" s="4" t="s">
        <v>231</v>
      </c>
      <c r="I642" s="13">
        <v>140</v>
      </c>
      <c r="J642" s="2" t="s">
        <v>830</v>
      </c>
      <c r="K642" s="10">
        <v>42472</v>
      </c>
      <c r="L642" s="14">
        <v>2.3E-3</v>
      </c>
      <c r="M642" s="12" t="s">
        <v>837</v>
      </c>
    </row>
    <row r="643" spans="7:13">
      <c r="G643" s="16" t="s">
        <v>1380</v>
      </c>
      <c r="H643" s="4" t="s">
        <v>718</v>
      </c>
      <c r="I643" s="13">
        <v>1962</v>
      </c>
      <c r="J643" s="2" t="s">
        <v>832</v>
      </c>
      <c r="K643" s="10">
        <v>42460</v>
      </c>
      <c r="L643" s="14">
        <v>3.4999999999999996E-3</v>
      </c>
      <c r="M643" s="12" t="s">
        <v>828</v>
      </c>
    </row>
    <row r="644" spans="7:13">
      <c r="G644" s="16" t="s">
        <v>1013</v>
      </c>
      <c r="H644" s="4" t="s">
        <v>474</v>
      </c>
      <c r="I644" s="13">
        <v>183</v>
      </c>
      <c r="J644" s="2" t="s">
        <v>835</v>
      </c>
      <c r="K644" s="10">
        <v>42451</v>
      </c>
      <c r="L644" s="14">
        <v>1.3500000000000001E-3</v>
      </c>
      <c r="M644" s="12" t="s">
        <v>842</v>
      </c>
    </row>
    <row r="645" spans="7:13">
      <c r="G645" s="16" t="s">
        <v>1091</v>
      </c>
      <c r="H645" s="4" t="s">
        <v>757</v>
      </c>
      <c r="I645" s="13">
        <v>251</v>
      </c>
      <c r="J645" s="2" t="s">
        <v>832</v>
      </c>
      <c r="K645" s="10">
        <v>42432</v>
      </c>
      <c r="L645" s="14">
        <v>3.0000000000000001E-3</v>
      </c>
      <c r="M645" s="12" t="s">
        <v>839</v>
      </c>
    </row>
    <row r="646" spans="7:13">
      <c r="G646" s="16" t="s">
        <v>1322</v>
      </c>
      <c r="H646" s="4" t="s">
        <v>448</v>
      </c>
      <c r="I646" s="13">
        <v>54</v>
      </c>
      <c r="J646" s="2" t="s">
        <v>830</v>
      </c>
      <c r="K646" s="10">
        <v>42424</v>
      </c>
      <c r="L646" s="14">
        <v>2E-3</v>
      </c>
      <c r="M646" s="12" t="s">
        <v>842</v>
      </c>
    </row>
    <row r="647" spans="7:13">
      <c r="G647" s="16" t="s">
        <v>1547</v>
      </c>
      <c r="H647" s="4" t="s">
        <v>533</v>
      </c>
      <c r="I647" s="13">
        <v>71</v>
      </c>
      <c r="J647" s="2" t="s">
        <v>830</v>
      </c>
      <c r="K647" s="10">
        <v>42396</v>
      </c>
      <c r="L647" s="14">
        <v>2E-3</v>
      </c>
      <c r="M647" s="12" t="s">
        <v>828</v>
      </c>
    </row>
    <row r="648" spans="7:13">
      <c r="G648" s="16" t="s">
        <v>991</v>
      </c>
      <c r="H648" s="4" t="s">
        <v>600</v>
      </c>
      <c r="I648" s="13">
        <v>219</v>
      </c>
      <c r="J648" s="2" t="s">
        <v>830</v>
      </c>
      <c r="K648" s="10">
        <v>42396</v>
      </c>
      <c r="L648" s="14">
        <v>1.9E-3</v>
      </c>
      <c r="M648" s="12" t="s">
        <v>831</v>
      </c>
    </row>
    <row r="649" spans="7:13">
      <c r="G649" s="16" t="s">
        <v>1363</v>
      </c>
      <c r="H649" s="4" t="s">
        <v>31</v>
      </c>
      <c r="I649" s="13">
        <v>281</v>
      </c>
      <c r="J649" s="2" t="s">
        <v>840</v>
      </c>
      <c r="K649" s="10">
        <v>42396</v>
      </c>
      <c r="L649" s="14">
        <v>1.5E-3</v>
      </c>
      <c r="M649" s="12" t="s">
        <v>831</v>
      </c>
    </row>
    <row r="650" spans="7:13">
      <c r="G650" s="16" t="s">
        <v>927</v>
      </c>
      <c r="H650" s="4" t="s">
        <v>462</v>
      </c>
      <c r="I650" s="13">
        <v>327</v>
      </c>
      <c r="J650" s="2" t="s">
        <v>832</v>
      </c>
      <c r="K650" s="10">
        <v>42503</v>
      </c>
      <c r="L650" s="14">
        <v>5.7999999999999996E-3</v>
      </c>
      <c r="M650" s="12" t="s">
        <v>828</v>
      </c>
    </row>
    <row r="651" spans="7:13">
      <c r="G651" s="16" t="s">
        <v>1578</v>
      </c>
      <c r="H651" s="4" t="s">
        <v>232</v>
      </c>
      <c r="I651" s="13">
        <v>70</v>
      </c>
      <c r="J651" s="2" t="s">
        <v>845</v>
      </c>
      <c r="K651" s="10">
        <v>42402</v>
      </c>
      <c r="L651" s="14">
        <v>3.0000000000000001E-3</v>
      </c>
      <c r="M651" s="12" t="s">
        <v>837</v>
      </c>
    </row>
    <row r="652" spans="7:13">
      <c r="G652" s="16" t="s">
        <v>1125</v>
      </c>
      <c r="H652" s="4" t="s">
        <v>241</v>
      </c>
      <c r="I652" s="13">
        <v>1604</v>
      </c>
      <c r="J652" s="2" t="s">
        <v>861</v>
      </c>
      <c r="K652" s="10">
        <v>42355</v>
      </c>
      <c r="L652" s="14">
        <v>6.4000000000000003E-3</v>
      </c>
      <c r="M652" s="12" t="s">
        <v>831</v>
      </c>
    </row>
    <row r="653" spans="7:13">
      <c r="G653" s="16" t="s">
        <v>1525</v>
      </c>
      <c r="H653" s="4" t="s">
        <v>213</v>
      </c>
      <c r="I653" s="13">
        <v>518</v>
      </c>
      <c r="J653" s="2" t="s">
        <v>861</v>
      </c>
      <c r="K653" s="10">
        <v>42355</v>
      </c>
      <c r="L653" s="14">
        <v>3.2000000000000002E-3</v>
      </c>
      <c r="M653" s="12" t="s">
        <v>828</v>
      </c>
    </row>
    <row r="654" spans="7:13">
      <c r="G654" s="16" t="s">
        <v>1299</v>
      </c>
      <c r="H654" s="4" t="s">
        <v>200</v>
      </c>
      <c r="I654" s="13">
        <v>1368</v>
      </c>
      <c r="J654" s="2" t="s">
        <v>840</v>
      </c>
      <c r="K654" s="10">
        <v>42320</v>
      </c>
      <c r="L654" s="14">
        <v>1.9E-3</v>
      </c>
      <c r="M654" s="12" t="s">
        <v>828</v>
      </c>
    </row>
    <row r="655" spans="7:13">
      <c r="G655" s="16" t="s">
        <v>1293</v>
      </c>
      <c r="H655" s="4" t="s">
        <v>295</v>
      </c>
      <c r="I655" s="13">
        <v>118</v>
      </c>
      <c r="J655" s="2" t="s">
        <v>850</v>
      </c>
      <c r="K655" s="10">
        <v>42324</v>
      </c>
      <c r="L655" s="14">
        <v>6.4000000000000003E-3</v>
      </c>
      <c r="M655" s="12" t="s">
        <v>855</v>
      </c>
    </row>
    <row r="656" spans="7:13">
      <c r="G656" s="16" t="s">
        <v>1334</v>
      </c>
      <c r="H656" s="4" t="s">
        <v>681</v>
      </c>
      <c r="I656" s="13">
        <v>104</v>
      </c>
      <c r="J656" s="2" t="s">
        <v>840</v>
      </c>
      <c r="K656" s="10">
        <v>42291</v>
      </c>
      <c r="L656" s="14">
        <v>2.5000000000000001E-3</v>
      </c>
      <c r="M656" s="12" t="s">
        <v>831</v>
      </c>
    </row>
    <row r="657" spans="7:13">
      <c r="G657" s="16" t="s">
        <v>1038</v>
      </c>
      <c r="H657" s="4" t="s">
        <v>715</v>
      </c>
      <c r="I657" s="13">
        <v>7578</v>
      </c>
      <c r="J657" s="2" t="s">
        <v>840</v>
      </c>
      <c r="K657" s="10">
        <v>42278</v>
      </c>
      <c r="L657" s="14">
        <v>2.5000000000000001E-3</v>
      </c>
      <c r="M657" s="12" t="s">
        <v>831</v>
      </c>
    </row>
    <row r="658" spans="7:13">
      <c r="G658" s="16" t="s">
        <v>1303</v>
      </c>
      <c r="H658" s="4" t="s">
        <v>158</v>
      </c>
      <c r="I658" s="13">
        <v>74</v>
      </c>
      <c r="J658" s="2" t="s">
        <v>840</v>
      </c>
      <c r="K658" s="10">
        <v>42291</v>
      </c>
      <c r="L658" s="14">
        <v>2.5000000000000001E-3</v>
      </c>
      <c r="M658" s="12" t="s">
        <v>828</v>
      </c>
    </row>
    <row r="659" spans="7:13">
      <c r="G659" s="16" t="s">
        <v>901</v>
      </c>
      <c r="H659" s="4" t="s">
        <v>351</v>
      </c>
      <c r="I659" s="13">
        <v>883</v>
      </c>
      <c r="J659" s="2" t="s">
        <v>845</v>
      </c>
      <c r="K659" s="10">
        <v>42284</v>
      </c>
      <c r="L659" s="14">
        <v>5.0000000000000001E-3</v>
      </c>
      <c r="M659" s="12" t="s">
        <v>828</v>
      </c>
    </row>
    <row r="660" spans="7:13">
      <c r="G660" s="16" t="s">
        <v>1052</v>
      </c>
      <c r="H660" s="4" t="s">
        <v>140</v>
      </c>
      <c r="I660" s="13">
        <v>1316</v>
      </c>
      <c r="J660" s="2" t="s">
        <v>845</v>
      </c>
      <c r="K660" s="10">
        <v>42284</v>
      </c>
      <c r="L660" s="14">
        <v>5.0000000000000001E-3</v>
      </c>
      <c r="M660" s="12" t="s">
        <v>828</v>
      </c>
    </row>
    <row r="661" spans="7:13">
      <c r="G661" s="16" t="s">
        <v>1246</v>
      </c>
      <c r="H661" s="4" t="s">
        <v>801</v>
      </c>
      <c r="I661" s="13">
        <v>651</v>
      </c>
      <c r="J661" s="2" t="s">
        <v>845</v>
      </c>
      <c r="K661" s="10">
        <v>42284</v>
      </c>
      <c r="L661" s="14">
        <v>5.0000000000000001E-3</v>
      </c>
      <c r="M661" s="12" t="s">
        <v>828</v>
      </c>
    </row>
    <row r="662" spans="7:13">
      <c r="G662" s="16" t="s">
        <v>1641</v>
      </c>
      <c r="H662" s="4" t="s">
        <v>504</v>
      </c>
      <c r="I662" s="13">
        <v>67</v>
      </c>
      <c r="J662" s="2" t="s">
        <v>840</v>
      </c>
      <c r="K662" s="10">
        <v>42270</v>
      </c>
      <c r="L662" s="14">
        <v>2E-3</v>
      </c>
      <c r="M662" s="12" t="s">
        <v>842</v>
      </c>
    </row>
    <row r="663" spans="7:13">
      <c r="G663" s="16" t="s">
        <v>1211</v>
      </c>
      <c r="H663" s="4" t="s">
        <v>721</v>
      </c>
      <c r="I663" s="13">
        <v>80</v>
      </c>
      <c r="J663" s="2" t="s">
        <v>845</v>
      </c>
      <c r="K663" s="10">
        <v>42270</v>
      </c>
      <c r="L663" s="14">
        <v>4.0000000000000001E-3</v>
      </c>
      <c r="M663" s="12" t="s">
        <v>828</v>
      </c>
    </row>
    <row r="664" spans="7:13">
      <c r="G664" s="16" t="s">
        <v>1634</v>
      </c>
      <c r="H664" s="4" t="s">
        <v>654</v>
      </c>
      <c r="I664" s="13">
        <v>35</v>
      </c>
      <c r="J664" s="2" t="s">
        <v>848</v>
      </c>
      <c r="K664" s="10">
        <v>42270</v>
      </c>
      <c r="L664" s="14">
        <v>4.0000000000000001E-3</v>
      </c>
      <c r="M664" s="12" t="s">
        <v>828</v>
      </c>
    </row>
    <row r="665" spans="7:13">
      <c r="G665" s="16" t="s">
        <v>1344</v>
      </c>
      <c r="H665" s="4" t="s">
        <v>385</v>
      </c>
      <c r="I665" s="13">
        <v>57</v>
      </c>
      <c r="J665" s="2" t="s">
        <v>848</v>
      </c>
      <c r="K665" s="10">
        <v>42270</v>
      </c>
      <c r="L665" s="14">
        <v>4.0000000000000001E-3</v>
      </c>
      <c r="M665" s="12" t="s">
        <v>828</v>
      </c>
    </row>
    <row r="666" spans="7:13">
      <c r="G666" s="16" t="s">
        <v>1482</v>
      </c>
      <c r="H666" s="4" t="s">
        <v>640</v>
      </c>
      <c r="I666" s="13">
        <v>346</v>
      </c>
      <c r="J666" s="2" t="s">
        <v>848</v>
      </c>
      <c r="K666" s="10">
        <v>42270</v>
      </c>
      <c r="L666" s="14">
        <v>4.0000000000000001E-3</v>
      </c>
      <c r="M666" s="12" t="s">
        <v>828</v>
      </c>
    </row>
    <row r="667" spans="7:13">
      <c r="G667" s="16" t="s">
        <v>948</v>
      </c>
      <c r="H667" s="4" t="s">
        <v>191</v>
      </c>
      <c r="I667" s="13">
        <v>72</v>
      </c>
      <c r="J667" s="2" t="s">
        <v>840</v>
      </c>
      <c r="K667" s="10">
        <v>42248</v>
      </c>
      <c r="L667" s="14">
        <v>3.0000000000000001E-3</v>
      </c>
      <c r="M667" s="12" t="s">
        <v>831</v>
      </c>
    </row>
    <row r="668" spans="7:13">
      <c r="G668" s="16" t="s">
        <v>1467</v>
      </c>
      <c r="H668" s="4" t="s">
        <v>304</v>
      </c>
      <c r="I668" s="13">
        <v>3221</v>
      </c>
      <c r="J668" s="2" t="s">
        <v>840</v>
      </c>
      <c r="K668" s="10">
        <v>42240</v>
      </c>
      <c r="L668" s="14">
        <v>1.5E-3</v>
      </c>
      <c r="M668" s="12" t="s">
        <v>831</v>
      </c>
    </row>
    <row r="669" spans="7:13">
      <c r="G669" s="16" t="s">
        <v>1310</v>
      </c>
      <c r="H669" s="4" t="s">
        <v>591</v>
      </c>
      <c r="I669" s="13">
        <v>59</v>
      </c>
      <c r="J669" s="2" t="s">
        <v>845</v>
      </c>
      <c r="K669" s="10">
        <v>42235</v>
      </c>
      <c r="L669" s="14">
        <v>5.0000000000000001E-3</v>
      </c>
      <c r="M669" s="12" t="s">
        <v>839</v>
      </c>
    </row>
    <row r="670" spans="7:13">
      <c r="G670" s="16" t="s">
        <v>1263</v>
      </c>
      <c r="H670" s="4" t="s">
        <v>50</v>
      </c>
      <c r="I670" s="13">
        <v>143</v>
      </c>
      <c r="J670" s="2" t="s">
        <v>850</v>
      </c>
      <c r="K670" s="10">
        <v>42226</v>
      </c>
      <c r="L670" s="14">
        <v>6.4000000000000003E-3</v>
      </c>
      <c r="M670" s="12" t="s">
        <v>855</v>
      </c>
    </row>
    <row r="671" spans="7:13">
      <c r="G671" s="16" t="s">
        <v>1620</v>
      </c>
      <c r="H671" s="4" t="s">
        <v>48</v>
      </c>
      <c r="I671" s="13">
        <v>85</v>
      </c>
      <c r="J671" s="2" t="s">
        <v>854</v>
      </c>
      <c r="K671" s="10">
        <v>42213</v>
      </c>
      <c r="L671" s="14">
        <v>4.8999999999999998E-3</v>
      </c>
      <c r="M671" s="12" t="s">
        <v>839</v>
      </c>
    </row>
    <row r="672" spans="7:13">
      <c r="G672" s="16" t="s">
        <v>1517</v>
      </c>
      <c r="H672" s="4" t="s">
        <v>714</v>
      </c>
      <c r="I672" s="13">
        <v>77</v>
      </c>
      <c r="J672" s="2" t="s">
        <v>832</v>
      </c>
      <c r="K672" s="10">
        <v>42214</v>
      </c>
      <c r="L672" s="14">
        <v>5.7999999999999996E-3</v>
      </c>
      <c r="M672" s="12" t="s">
        <v>828</v>
      </c>
    </row>
    <row r="673" spans="7:13">
      <c r="G673" s="16" t="s">
        <v>1069</v>
      </c>
      <c r="H673" s="4" t="s">
        <v>436</v>
      </c>
      <c r="I673" s="13">
        <v>92</v>
      </c>
      <c r="J673" s="2" t="s">
        <v>854</v>
      </c>
      <c r="K673" s="10">
        <v>42214</v>
      </c>
      <c r="L673" s="14">
        <v>5.7999999999999996E-3</v>
      </c>
      <c r="M673" s="12" t="s">
        <v>828</v>
      </c>
    </row>
    <row r="674" spans="7:13">
      <c r="G674" s="16" t="s">
        <v>1393</v>
      </c>
      <c r="H674" s="4" t="s">
        <v>752</v>
      </c>
      <c r="I674" s="13">
        <v>505</v>
      </c>
      <c r="J674" s="2" t="s">
        <v>854</v>
      </c>
      <c r="K674" s="10">
        <v>42214</v>
      </c>
      <c r="L674" s="14">
        <v>2.5000000000000001E-3</v>
      </c>
      <c r="M674" s="12" t="s">
        <v>828</v>
      </c>
    </row>
    <row r="675" spans="7:13">
      <c r="G675" s="16" t="s">
        <v>1258</v>
      </c>
      <c r="H675" s="4" t="s">
        <v>478</v>
      </c>
      <c r="I675" s="13">
        <v>65</v>
      </c>
      <c r="J675" s="2" t="s">
        <v>854</v>
      </c>
      <c r="K675" s="10">
        <v>42214</v>
      </c>
      <c r="L675" s="14">
        <v>5.8999999999999999E-3</v>
      </c>
      <c r="M675" s="12" t="s">
        <v>828</v>
      </c>
    </row>
    <row r="676" spans="7:13">
      <c r="G676" s="16" t="s">
        <v>1360</v>
      </c>
      <c r="H676" s="4" t="s">
        <v>727</v>
      </c>
      <c r="I676" s="13">
        <v>112</v>
      </c>
      <c r="J676" s="2" t="s">
        <v>838</v>
      </c>
      <c r="K676" s="10">
        <v>42181</v>
      </c>
      <c r="L676" s="14">
        <v>3.0000000000000001E-3</v>
      </c>
      <c r="M676" s="12" t="s">
        <v>831</v>
      </c>
    </row>
    <row r="677" spans="7:13">
      <c r="G677" s="16" t="s">
        <v>959</v>
      </c>
      <c r="H677" s="4" t="s">
        <v>722</v>
      </c>
      <c r="I677" s="13">
        <v>39</v>
      </c>
      <c r="J677" s="2" t="s">
        <v>854</v>
      </c>
      <c r="K677" s="10">
        <v>42163</v>
      </c>
      <c r="L677" s="14">
        <v>6.0000000000000001E-3</v>
      </c>
      <c r="M677" s="12" t="s">
        <v>844</v>
      </c>
    </row>
    <row r="678" spans="7:13">
      <c r="G678" s="16" t="s">
        <v>1424</v>
      </c>
      <c r="H678" s="4" t="s">
        <v>248</v>
      </c>
      <c r="I678" s="13">
        <v>46</v>
      </c>
      <c r="J678" s="2" t="s">
        <v>854</v>
      </c>
      <c r="K678" s="10">
        <v>42152</v>
      </c>
      <c r="L678" s="14">
        <v>5.0000000000000001E-3</v>
      </c>
      <c r="M678" s="12" t="s">
        <v>839</v>
      </c>
    </row>
    <row r="679" spans="7:13">
      <c r="G679" s="16" t="s">
        <v>1208</v>
      </c>
      <c r="H679" s="4" t="s">
        <v>663</v>
      </c>
      <c r="I679" s="13">
        <v>1470</v>
      </c>
      <c r="J679" s="2" t="s">
        <v>854</v>
      </c>
      <c r="K679" s="10">
        <v>42153</v>
      </c>
      <c r="L679" s="14">
        <v>5.0000000000000001E-4</v>
      </c>
      <c r="M679" s="12" t="s">
        <v>831</v>
      </c>
    </row>
    <row r="680" spans="7:13">
      <c r="G680" s="16" t="s">
        <v>1221</v>
      </c>
      <c r="H680" s="4" t="s">
        <v>784</v>
      </c>
      <c r="I680" s="13">
        <v>181</v>
      </c>
      <c r="J680" s="2" t="s">
        <v>854</v>
      </c>
      <c r="K680" s="10">
        <v>42157</v>
      </c>
      <c r="L680" s="14">
        <v>2.5000000000000001E-3</v>
      </c>
      <c r="M680" s="12" t="s">
        <v>837</v>
      </c>
    </row>
    <row r="681" spans="7:13">
      <c r="G681" s="16" t="s">
        <v>964</v>
      </c>
      <c r="H681" s="4" t="s">
        <v>71</v>
      </c>
      <c r="I681" s="13">
        <v>265</v>
      </c>
      <c r="J681" s="2" t="s">
        <v>854</v>
      </c>
      <c r="K681" s="10">
        <v>42122</v>
      </c>
      <c r="L681" s="14">
        <v>2.5000000000000001E-3</v>
      </c>
      <c r="M681" s="12" t="s">
        <v>831</v>
      </c>
    </row>
    <row r="682" spans="7:13">
      <c r="G682" s="16" t="s">
        <v>887</v>
      </c>
      <c r="H682" s="4" t="s">
        <v>774</v>
      </c>
      <c r="I682" s="13">
        <v>161</v>
      </c>
      <c r="J682" s="2" t="s">
        <v>854</v>
      </c>
      <c r="K682" s="10">
        <v>42165</v>
      </c>
      <c r="L682" s="14">
        <v>5.7999999999999996E-3</v>
      </c>
      <c r="M682" s="12" t="s">
        <v>828</v>
      </c>
    </row>
    <row r="683" spans="7:13">
      <c r="G683" s="16" t="s">
        <v>894</v>
      </c>
      <c r="H683" s="4" t="s">
        <v>724</v>
      </c>
      <c r="I683" s="13">
        <v>141</v>
      </c>
      <c r="J683" s="2" t="s">
        <v>829</v>
      </c>
      <c r="K683" s="10">
        <v>42123</v>
      </c>
      <c r="L683" s="14">
        <v>6.8999999999999999E-3</v>
      </c>
      <c r="M683" s="12" t="s">
        <v>828</v>
      </c>
    </row>
    <row r="684" spans="7:13">
      <c r="G684" s="16" t="s">
        <v>914</v>
      </c>
      <c r="H684" s="4" t="s">
        <v>531</v>
      </c>
      <c r="I684" s="13">
        <v>54</v>
      </c>
      <c r="J684" s="2" t="s">
        <v>845</v>
      </c>
      <c r="K684" s="10">
        <v>42088</v>
      </c>
      <c r="L684" s="14">
        <v>4.0000000000000001E-3</v>
      </c>
      <c r="M684" s="12" t="s">
        <v>860</v>
      </c>
    </row>
    <row r="685" spans="7:13">
      <c r="G685" s="16" t="s">
        <v>1319</v>
      </c>
      <c r="H685" s="4" t="s">
        <v>495</v>
      </c>
      <c r="I685" s="13">
        <v>11082</v>
      </c>
      <c r="J685" s="2" t="s">
        <v>835</v>
      </c>
      <c r="K685" s="10">
        <v>42066</v>
      </c>
      <c r="L685" s="14">
        <v>1.5E-3</v>
      </c>
      <c r="M685" s="12" t="s">
        <v>831</v>
      </c>
    </row>
    <row r="686" spans="7:13">
      <c r="G686" s="16" t="s">
        <v>932</v>
      </c>
      <c r="H686" s="4" t="s">
        <v>253</v>
      </c>
      <c r="I686" s="13">
        <v>129</v>
      </c>
      <c r="J686" s="2" t="s">
        <v>843</v>
      </c>
      <c r="K686" s="10">
        <v>42030</v>
      </c>
      <c r="L686" s="14">
        <v>4.0000000000000001E-3</v>
      </c>
      <c r="M686" s="12" t="s">
        <v>842</v>
      </c>
    </row>
    <row r="687" spans="7:13">
      <c r="G687" s="16" t="s">
        <v>922</v>
      </c>
      <c r="H687" s="4" t="s">
        <v>649</v>
      </c>
      <c r="I687" s="13">
        <v>1431</v>
      </c>
      <c r="J687" s="2" t="s">
        <v>858</v>
      </c>
      <c r="K687" s="10">
        <v>42012</v>
      </c>
      <c r="L687" s="14">
        <v>8.9999999999999998E-4</v>
      </c>
      <c r="M687" s="12" t="s">
        <v>831</v>
      </c>
    </row>
    <row r="688" spans="7:13">
      <c r="G688" s="16" t="s">
        <v>1405</v>
      </c>
      <c r="H688" s="4" t="s">
        <v>631</v>
      </c>
      <c r="I688" s="13">
        <v>208</v>
      </c>
      <c r="J688" s="2" t="s">
        <v>845</v>
      </c>
      <c r="K688" s="10">
        <v>41990</v>
      </c>
      <c r="L688" s="14">
        <v>1.5E-3</v>
      </c>
      <c r="M688" s="12" t="s">
        <v>831</v>
      </c>
    </row>
    <row r="689" spans="7:13">
      <c r="G689" s="16" t="s">
        <v>1223</v>
      </c>
      <c r="H689" s="4" t="s">
        <v>152</v>
      </c>
      <c r="I689" s="13">
        <v>176</v>
      </c>
      <c r="J689" s="2" t="s">
        <v>845</v>
      </c>
      <c r="K689" s="10">
        <v>41990</v>
      </c>
      <c r="L689" s="14">
        <v>1.5E-3</v>
      </c>
      <c r="M689" s="12" t="s">
        <v>828</v>
      </c>
    </row>
    <row r="690" spans="7:13">
      <c r="G690" s="16" t="s">
        <v>1372</v>
      </c>
      <c r="H690" s="4" t="s">
        <v>412</v>
      </c>
      <c r="I690" s="13">
        <v>281</v>
      </c>
      <c r="J690" s="2" t="s">
        <v>845</v>
      </c>
      <c r="K690" s="10">
        <v>41978</v>
      </c>
      <c r="L690" s="14">
        <v>2.8999999999999998E-3</v>
      </c>
      <c r="M690" s="12" t="s">
        <v>828</v>
      </c>
    </row>
    <row r="691" spans="7:13">
      <c r="G691" s="16" t="s">
        <v>1425</v>
      </c>
      <c r="H691" s="4" t="s">
        <v>246</v>
      </c>
      <c r="I691" s="13">
        <v>53</v>
      </c>
      <c r="J691" s="2" t="s">
        <v>854</v>
      </c>
      <c r="K691" s="10">
        <v>41911</v>
      </c>
      <c r="L691" s="14">
        <v>5.0000000000000001E-3</v>
      </c>
      <c r="M691" s="12" t="s">
        <v>839</v>
      </c>
    </row>
    <row r="692" spans="7:13">
      <c r="G692" s="16" t="s">
        <v>1175</v>
      </c>
      <c r="H692" s="4" t="s">
        <v>603</v>
      </c>
      <c r="I692" s="13">
        <v>798</v>
      </c>
      <c r="J692" s="2" t="s">
        <v>854</v>
      </c>
      <c r="K692" s="10">
        <v>41883</v>
      </c>
      <c r="L692" s="14">
        <v>5.7999999999999996E-3</v>
      </c>
      <c r="M692" s="12" t="s">
        <v>828</v>
      </c>
    </row>
    <row r="693" spans="7:13">
      <c r="G693" s="16" t="s">
        <v>1527</v>
      </c>
      <c r="H693" s="4" t="s">
        <v>706</v>
      </c>
      <c r="I693" s="13">
        <v>576</v>
      </c>
      <c r="J693" s="2" t="s">
        <v>854</v>
      </c>
      <c r="K693" s="10">
        <v>41894</v>
      </c>
      <c r="L693" s="14">
        <v>6.4000000000000003E-3</v>
      </c>
      <c r="M693" s="12" t="s">
        <v>831</v>
      </c>
    </row>
    <row r="694" spans="7:13">
      <c r="G694" s="16" t="s">
        <v>1118</v>
      </c>
      <c r="H694" s="4" t="s">
        <v>804</v>
      </c>
      <c r="I694" s="13">
        <v>381</v>
      </c>
      <c r="J694" s="2" t="s">
        <v>854</v>
      </c>
      <c r="K694" s="10">
        <v>41878</v>
      </c>
      <c r="L694" s="14">
        <v>3.0000000000000001E-3</v>
      </c>
      <c r="M694" s="12" t="s">
        <v>828</v>
      </c>
    </row>
    <row r="695" spans="7:13">
      <c r="G695" s="16" t="s">
        <v>1664</v>
      </c>
      <c r="H695" s="4" t="s">
        <v>315</v>
      </c>
      <c r="I695" s="13">
        <v>1914</v>
      </c>
      <c r="J695" s="2" t="s">
        <v>854</v>
      </c>
      <c r="K695" s="10">
        <v>41816</v>
      </c>
      <c r="L695" s="14">
        <v>2.8999999999999998E-3</v>
      </c>
      <c r="M695" s="12" t="s">
        <v>855</v>
      </c>
    </row>
    <row r="696" spans="7:13">
      <c r="G696" s="16" t="s">
        <v>1594</v>
      </c>
      <c r="H696" s="4" t="s">
        <v>319</v>
      </c>
      <c r="I696" s="13">
        <v>146</v>
      </c>
      <c r="J696" s="2" t="s">
        <v>854</v>
      </c>
      <c r="K696" s="10">
        <v>41802</v>
      </c>
      <c r="L696" s="14">
        <v>2.5000000000000001E-3</v>
      </c>
      <c r="M696" s="12" t="s">
        <v>831</v>
      </c>
    </row>
    <row r="697" spans="7:13">
      <c r="G697" s="16" t="s">
        <v>1029</v>
      </c>
      <c r="H697" s="4" t="s">
        <v>473</v>
      </c>
      <c r="I697" s="13">
        <v>4604</v>
      </c>
      <c r="J697" s="2" t="s">
        <v>835</v>
      </c>
      <c r="K697" s="10">
        <v>41778</v>
      </c>
      <c r="L697" s="14">
        <v>1.3000000000000002E-3</v>
      </c>
      <c r="M697" s="12" t="s">
        <v>837</v>
      </c>
    </row>
    <row r="698" spans="7:13">
      <c r="G698" s="16" t="s">
        <v>1534</v>
      </c>
      <c r="H698" s="4" t="s">
        <v>408</v>
      </c>
      <c r="I698" s="13">
        <v>156</v>
      </c>
      <c r="J698" s="2" t="s">
        <v>854</v>
      </c>
      <c r="K698" s="10">
        <v>41806</v>
      </c>
      <c r="L698" s="14">
        <v>5.0000000000000001E-3</v>
      </c>
      <c r="M698" s="12" t="s">
        <v>839</v>
      </c>
    </row>
    <row r="699" spans="7:13">
      <c r="G699" s="16" t="s">
        <v>1136</v>
      </c>
      <c r="H699" s="4" t="s">
        <v>252</v>
      </c>
      <c r="I699" s="13">
        <v>721</v>
      </c>
      <c r="J699" s="2" t="s">
        <v>854</v>
      </c>
      <c r="K699" s="10">
        <v>41772</v>
      </c>
      <c r="L699" s="14">
        <v>5.0000000000000001E-3</v>
      </c>
      <c r="M699" s="12" t="s">
        <v>842</v>
      </c>
    </row>
    <row r="700" spans="7:13">
      <c r="G700" s="16" t="s">
        <v>1542</v>
      </c>
      <c r="H700" s="4" t="s">
        <v>535</v>
      </c>
      <c r="I700" s="13">
        <v>143</v>
      </c>
      <c r="J700" s="2" t="s">
        <v>854</v>
      </c>
      <c r="K700" s="10">
        <v>41772</v>
      </c>
      <c r="L700" s="14">
        <v>5.0000000000000001E-3</v>
      </c>
      <c r="M700" s="12" t="s">
        <v>842</v>
      </c>
    </row>
    <row r="701" spans="7:13">
      <c r="G701" s="16" t="s">
        <v>934</v>
      </c>
      <c r="H701" s="4" t="s">
        <v>707</v>
      </c>
      <c r="I701" s="13">
        <v>352</v>
      </c>
      <c r="J701" s="2" t="s">
        <v>854</v>
      </c>
      <c r="K701" s="10">
        <v>41759</v>
      </c>
      <c r="L701" s="14">
        <v>2.3999999999999998E-3</v>
      </c>
      <c r="M701" s="12" t="s">
        <v>828</v>
      </c>
    </row>
    <row r="702" spans="7:13">
      <c r="G702" s="16" t="s">
        <v>1160</v>
      </c>
      <c r="H702" s="4" t="s">
        <v>423</v>
      </c>
      <c r="I702" s="13">
        <v>75</v>
      </c>
      <c r="J702" s="2" t="s">
        <v>854</v>
      </c>
      <c r="K702" s="10">
        <v>41759</v>
      </c>
      <c r="L702" s="14">
        <v>2.3999999999999998E-3</v>
      </c>
      <c r="M702" s="12" t="s">
        <v>828</v>
      </c>
    </row>
    <row r="703" spans="7:13">
      <c r="G703" s="16" t="s">
        <v>1045</v>
      </c>
      <c r="H703" s="4" t="s">
        <v>162</v>
      </c>
      <c r="I703" s="13">
        <v>53</v>
      </c>
      <c r="J703" s="2" t="s">
        <v>845</v>
      </c>
      <c r="K703" s="10">
        <v>41690</v>
      </c>
      <c r="L703" s="14">
        <v>2.3E-3</v>
      </c>
      <c r="M703" s="12" t="s">
        <v>846</v>
      </c>
    </row>
    <row r="704" spans="7:13">
      <c r="G704" s="16" t="s">
        <v>1151</v>
      </c>
      <c r="H704" s="4" t="s">
        <v>112</v>
      </c>
      <c r="I704" s="13">
        <v>1849</v>
      </c>
      <c r="J704" s="2" t="s">
        <v>832</v>
      </c>
      <c r="K704" s="10">
        <v>41687</v>
      </c>
      <c r="L704" s="14">
        <v>6.3E-3</v>
      </c>
      <c r="M704" s="12" t="s">
        <v>828</v>
      </c>
    </row>
    <row r="705" spans="7:13">
      <c r="G705" s="16" t="s">
        <v>1647</v>
      </c>
      <c r="H705" s="4" t="s">
        <v>180</v>
      </c>
      <c r="I705" s="13">
        <v>1515</v>
      </c>
      <c r="J705" s="2" t="s">
        <v>835</v>
      </c>
      <c r="K705" s="10">
        <v>41631</v>
      </c>
      <c r="L705" s="14">
        <v>7.000000000000001E-4</v>
      </c>
      <c r="M705" s="12" t="s">
        <v>839</v>
      </c>
    </row>
    <row r="706" spans="7:13">
      <c r="G706" s="16" t="s">
        <v>889</v>
      </c>
      <c r="H706" s="4" t="s">
        <v>456</v>
      </c>
      <c r="I706" s="13">
        <v>65</v>
      </c>
      <c r="J706" s="2" t="s">
        <v>854</v>
      </c>
      <c r="K706" s="10">
        <v>41618</v>
      </c>
      <c r="L706" s="14">
        <v>4.0000000000000001E-3</v>
      </c>
      <c r="M706" s="12" t="s">
        <v>842</v>
      </c>
    </row>
    <row r="707" spans="7:13">
      <c r="G707" s="16" t="s">
        <v>1234</v>
      </c>
      <c r="H707" s="4" t="s">
        <v>344</v>
      </c>
      <c r="I707" s="13">
        <v>122</v>
      </c>
      <c r="J707" s="2" t="s">
        <v>854</v>
      </c>
      <c r="K707" s="10">
        <v>41578</v>
      </c>
      <c r="L707" s="14">
        <v>2.5000000000000001E-3</v>
      </c>
      <c r="M707" s="12" t="s">
        <v>831</v>
      </c>
    </row>
    <row r="708" spans="7:13">
      <c r="G708" s="16" t="s">
        <v>1166</v>
      </c>
      <c r="H708" s="4" t="s">
        <v>208</v>
      </c>
      <c r="I708" s="13">
        <v>78</v>
      </c>
      <c r="J708" s="2" t="s">
        <v>830</v>
      </c>
      <c r="K708" s="10">
        <v>41564</v>
      </c>
      <c r="L708" s="14">
        <v>2.5000000000000001E-3</v>
      </c>
      <c r="M708" s="12" t="s">
        <v>837</v>
      </c>
    </row>
    <row r="709" spans="7:13">
      <c r="G709" s="16" t="s">
        <v>1624</v>
      </c>
      <c r="H709" s="4" t="s">
        <v>426</v>
      </c>
      <c r="I709" s="13">
        <v>144</v>
      </c>
      <c r="J709" s="2" t="s">
        <v>830</v>
      </c>
      <c r="K709" s="10">
        <v>41564</v>
      </c>
      <c r="L709" s="14">
        <v>2E-3</v>
      </c>
      <c r="M709" s="12" t="s">
        <v>837</v>
      </c>
    </row>
    <row r="710" spans="7:13">
      <c r="G710" s="16" t="s">
        <v>1276</v>
      </c>
      <c r="H710" s="4" t="s">
        <v>201</v>
      </c>
      <c r="I710" s="13">
        <v>155</v>
      </c>
      <c r="J710" s="2" t="s">
        <v>856</v>
      </c>
      <c r="K710" s="10">
        <v>41722</v>
      </c>
      <c r="L710" s="14">
        <v>2.3999999999999998E-3</v>
      </c>
      <c r="M710" s="12" t="s">
        <v>828</v>
      </c>
    </row>
    <row r="711" spans="7:13">
      <c r="G711" s="16" t="s">
        <v>1105</v>
      </c>
      <c r="H711" s="4" t="s">
        <v>781</v>
      </c>
      <c r="I711" s="13">
        <v>1203</v>
      </c>
      <c r="J711" s="2" t="s">
        <v>862</v>
      </c>
      <c r="K711" s="10">
        <v>41557</v>
      </c>
      <c r="L711" s="14">
        <v>2.3999999999999998E-3</v>
      </c>
      <c r="M711" s="12" t="s">
        <v>828</v>
      </c>
    </row>
    <row r="712" spans="7:13">
      <c r="G712" s="16" t="s">
        <v>907</v>
      </c>
      <c r="H712" s="4" t="s">
        <v>735</v>
      </c>
      <c r="I712" s="13">
        <v>146</v>
      </c>
      <c r="J712" s="2" t="s">
        <v>862</v>
      </c>
      <c r="K712" s="10">
        <v>41487</v>
      </c>
      <c r="L712" s="14">
        <v>3.0000000000000001E-3</v>
      </c>
      <c r="M712" s="12" t="s">
        <v>839</v>
      </c>
    </row>
    <row r="713" spans="7:13">
      <c r="G713" s="16" t="s">
        <v>1004</v>
      </c>
      <c r="H713" s="4" t="s">
        <v>542</v>
      </c>
      <c r="I713" s="13">
        <v>64</v>
      </c>
      <c r="J713" s="2" t="s">
        <v>857</v>
      </c>
      <c r="K713" s="10">
        <v>41425</v>
      </c>
      <c r="L713" s="14">
        <v>7.000000000000001E-4</v>
      </c>
      <c r="M713" s="12" t="s">
        <v>831</v>
      </c>
    </row>
    <row r="714" spans="7:13">
      <c r="G714" s="16" t="s">
        <v>1672</v>
      </c>
      <c r="H714" s="4" t="s">
        <v>578</v>
      </c>
      <c r="I714" s="13">
        <v>522</v>
      </c>
      <c r="J714" s="2" t="s">
        <v>832</v>
      </c>
      <c r="K714" s="10">
        <v>41429</v>
      </c>
      <c r="L714" s="14">
        <v>6.5000000000000006E-3</v>
      </c>
      <c r="M714" s="12" t="s">
        <v>837</v>
      </c>
    </row>
    <row r="715" spans="7:13">
      <c r="G715" s="16" t="s">
        <v>1002</v>
      </c>
      <c r="H715" s="4" t="s">
        <v>235</v>
      </c>
      <c r="I715" s="13">
        <v>97</v>
      </c>
      <c r="J715" s="2" t="s">
        <v>838</v>
      </c>
      <c r="K715" s="10">
        <v>41445</v>
      </c>
      <c r="L715" s="14">
        <v>4.0000000000000001E-3</v>
      </c>
      <c r="M715" s="12" t="s">
        <v>828</v>
      </c>
    </row>
    <row r="716" spans="7:13">
      <c r="G716" s="16" t="s">
        <v>1570</v>
      </c>
      <c r="H716" s="4" t="s">
        <v>95</v>
      </c>
      <c r="I716" s="13">
        <v>240</v>
      </c>
      <c r="J716" s="2" t="s">
        <v>832</v>
      </c>
      <c r="K716" s="10">
        <v>41295</v>
      </c>
      <c r="L716" s="14">
        <v>1.1999999999999999E-3</v>
      </c>
      <c r="M716" s="12" t="s">
        <v>831</v>
      </c>
    </row>
    <row r="717" spans="7:13">
      <c r="G717" s="16" t="s">
        <v>1110</v>
      </c>
      <c r="H717" s="4" t="s">
        <v>125</v>
      </c>
      <c r="I717" s="13">
        <v>1062</v>
      </c>
      <c r="J717" s="2" t="s">
        <v>832</v>
      </c>
      <c r="K717" s="10">
        <v>41242</v>
      </c>
      <c r="L717" s="14">
        <v>6.9999999999999993E-3</v>
      </c>
      <c r="M717" s="12" t="s">
        <v>839</v>
      </c>
    </row>
    <row r="718" spans="7:13">
      <c r="G718" s="16" t="s">
        <v>1190</v>
      </c>
      <c r="H718" s="4" t="s">
        <v>747</v>
      </c>
      <c r="I718" s="13">
        <v>154</v>
      </c>
      <c r="J718" s="2" t="s">
        <v>857</v>
      </c>
      <c r="K718" s="10">
        <v>41212</v>
      </c>
      <c r="L718" s="14">
        <v>3.0000000000000001E-3</v>
      </c>
      <c r="M718" s="12" t="s">
        <v>855</v>
      </c>
    </row>
    <row r="719" spans="7:13">
      <c r="G719" s="16" t="s">
        <v>1377</v>
      </c>
      <c r="H719" s="4" t="s">
        <v>450</v>
      </c>
      <c r="I719" s="13">
        <v>62</v>
      </c>
      <c r="J719" s="2" t="s">
        <v>851</v>
      </c>
      <c r="K719" s="10">
        <v>41207</v>
      </c>
      <c r="L719" s="14">
        <v>3.8E-3</v>
      </c>
      <c r="M719" s="12" t="s">
        <v>828</v>
      </c>
    </row>
    <row r="720" spans="7:13">
      <c r="G720" s="16" t="s">
        <v>1158</v>
      </c>
      <c r="H720" s="4" t="s">
        <v>486</v>
      </c>
      <c r="I720" s="13">
        <v>2007</v>
      </c>
      <c r="J720" s="2" t="s">
        <v>845</v>
      </c>
      <c r="K720" s="10">
        <v>41150</v>
      </c>
      <c r="L720" s="14">
        <v>2.3E-3</v>
      </c>
      <c r="M720" s="12" t="s">
        <v>842</v>
      </c>
    </row>
    <row r="721" spans="7:13">
      <c r="G721" s="16" t="s">
        <v>1000</v>
      </c>
      <c r="H721" s="4" t="s">
        <v>369</v>
      </c>
      <c r="I721" s="13">
        <v>233</v>
      </c>
      <c r="J721" s="2" t="s">
        <v>829</v>
      </c>
      <c r="K721" s="10">
        <v>41260</v>
      </c>
      <c r="L721" s="14">
        <v>8.3000000000000001E-3</v>
      </c>
      <c r="M721" s="12" t="s">
        <v>828</v>
      </c>
    </row>
    <row r="722" spans="7:13">
      <c r="G722" s="16" t="s">
        <v>1633</v>
      </c>
      <c r="H722" s="4" t="s">
        <v>340</v>
      </c>
      <c r="I722" s="13">
        <v>64</v>
      </c>
      <c r="J722" s="2" t="s">
        <v>840</v>
      </c>
      <c r="K722" s="10">
        <v>41095</v>
      </c>
      <c r="L722" s="14">
        <v>3.9000000000000003E-3</v>
      </c>
      <c r="M722" s="12" t="s">
        <v>869</v>
      </c>
    </row>
    <row r="723" spans="7:13">
      <c r="G723" s="16" t="s">
        <v>1400</v>
      </c>
      <c r="H723" s="4" t="s">
        <v>732</v>
      </c>
      <c r="I723" s="13">
        <v>49</v>
      </c>
      <c r="J723" s="2" t="s">
        <v>848</v>
      </c>
      <c r="K723" s="10">
        <v>41045</v>
      </c>
      <c r="L723" s="14">
        <v>4.0000000000000001E-3</v>
      </c>
      <c r="M723" s="12" t="s">
        <v>828</v>
      </c>
    </row>
    <row r="724" spans="7:13">
      <c r="G724" s="16" t="s">
        <v>1270</v>
      </c>
      <c r="H724" s="4" t="s">
        <v>696</v>
      </c>
      <c r="I724" s="13">
        <v>897</v>
      </c>
      <c r="J724" s="2" t="s">
        <v>848</v>
      </c>
      <c r="K724" s="10">
        <v>41045</v>
      </c>
      <c r="L724" s="14">
        <v>4.0000000000000001E-3</v>
      </c>
      <c r="M724" s="12" t="s">
        <v>828</v>
      </c>
    </row>
    <row r="725" spans="7:13">
      <c r="G725" s="16" t="s">
        <v>1055</v>
      </c>
      <c r="H725" s="4" t="s">
        <v>223</v>
      </c>
      <c r="I725" s="13">
        <v>6615</v>
      </c>
      <c r="J725" s="2" t="s">
        <v>835</v>
      </c>
      <c r="K725" s="10">
        <v>41045</v>
      </c>
      <c r="L725" s="14">
        <v>8.9999999999999998E-4</v>
      </c>
      <c r="M725" s="12" t="s">
        <v>828</v>
      </c>
    </row>
    <row r="726" spans="7:13">
      <c r="G726" s="16" t="s">
        <v>1577</v>
      </c>
      <c r="H726" s="4" t="s">
        <v>509</v>
      </c>
      <c r="I726" s="13">
        <v>82</v>
      </c>
      <c r="J726" s="2" t="s">
        <v>840</v>
      </c>
      <c r="K726" s="10">
        <v>41029</v>
      </c>
      <c r="L726" s="14">
        <v>8.9999999999999998E-4</v>
      </c>
      <c r="M726" s="12" t="s">
        <v>831</v>
      </c>
    </row>
    <row r="727" spans="7:13">
      <c r="G727" s="16" t="s">
        <v>956</v>
      </c>
      <c r="H727" s="4" t="s">
        <v>439</v>
      </c>
      <c r="I727" s="13">
        <v>62</v>
      </c>
      <c r="J727" s="2" t="s">
        <v>840</v>
      </c>
      <c r="K727" s="10">
        <v>40967</v>
      </c>
      <c r="L727" s="14">
        <v>1.9500000000000001E-3</v>
      </c>
      <c r="M727" s="12" t="s">
        <v>855</v>
      </c>
    </row>
    <row r="728" spans="7:13">
      <c r="G728" s="16" t="s">
        <v>1553</v>
      </c>
      <c r="H728" s="4" t="s">
        <v>100</v>
      </c>
      <c r="I728" s="13">
        <v>6759</v>
      </c>
      <c r="J728" s="2" t="s">
        <v>835</v>
      </c>
      <c r="K728" s="10">
        <v>40961</v>
      </c>
      <c r="L728" s="14">
        <v>1.5E-3</v>
      </c>
      <c r="M728" s="12" t="s">
        <v>831</v>
      </c>
    </row>
    <row r="729" spans="7:13">
      <c r="G729" s="16" t="s">
        <v>1255</v>
      </c>
      <c r="H729" s="4" t="s">
        <v>602</v>
      </c>
      <c r="I729" s="13">
        <v>433</v>
      </c>
      <c r="J729" s="2" t="s">
        <v>840</v>
      </c>
      <c r="K729" s="10">
        <v>40952</v>
      </c>
      <c r="L729" s="14">
        <v>1.4499999999999999E-3</v>
      </c>
      <c r="M729" s="12" t="s">
        <v>846</v>
      </c>
    </row>
    <row r="730" spans="7:13">
      <c r="G730" s="16" t="s">
        <v>1191</v>
      </c>
      <c r="H730" s="4" t="s">
        <v>434</v>
      </c>
      <c r="I730" s="13">
        <v>89</v>
      </c>
      <c r="J730" s="2" t="s">
        <v>861</v>
      </c>
      <c r="K730" s="10">
        <v>40935</v>
      </c>
      <c r="L730" s="14">
        <v>3.0000000000000001E-3</v>
      </c>
      <c r="M730" s="12" t="s">
        <v>839</v>
      </c>
    </row>
    <row r="731" spans="7:13">
      <c r="G731" s="16" t="s">
        <v>1659</v>
      </c>
      <c r="H731" s="4" t="s">
        <v>170</v>
      </c>
      <c r="I731" s="13">
        <v>750</v>
      </c>
      <c r="J731" s="2" t="s">
        <v>835</v>
      </c>
      <c r="K731" s="10">
        <v>40928</v>
      </c>
      <c r="L731" s="14">
        <v>7.000000000000001E-4</v>
      </c>
      <c r="M731" s="12" t="s">
        <v>831</v>
      </c>
    </row>
    <row r="732" spans="7:13">
      <c r="G732" s="16" t="s">
        <v>1269</v>
      </c>
      <c r="H732" s="4" t="s">
        <v>209</v>
      </c>
      <c r="I732" s="13">
        <v>6207</v>
      </c>
      <c r="J732" s="2" t="s">
        <v>840</v>
      </c>
      <c r="K732" s="10">
        <v>40918</v>
      </c>
      <c r="L732" s="14">
        <v>4.0000000000000002E-4</v>
      </c>
      <c r="M732" s="12" t="s">
        <v>842</v>
      </c>
    </row>
    <row r="733" spans="7:13">
      <c r="G733" s="16" t="s">
        <v>935</v>
      </c>
      <c r="H733" s="4" t="s">
        <v>772</v>
      </c>
      <c r="I733" s="13">
        <v>882</v>
      </c>
      <c r="J733" s="2" t="s">
        <v>845</v>
      </c>
      <c r="K733" s="10">
        <v>40893</v>
      </c>
      <c r="L733" s="14">
        <v>5.0000000000000001E-3</v>
      </c>
      <c r="M733" s="12" t="s">
        <v>828</v>
      </c>
    </row>
    <row r="734" spans="7:13">
      <c r="G734" s="16" t="s">
        <v>1331</v>
      </c>
      <c r="H734" s="4" t="s">
        <v>161</v>
      </c>
      <c r="I734" s="13">
        <v>4960</v>
      </c>
      <c r="J734" s="2" t="s">
        <v>835</v>
      </c>
      <c r="K734" s="10">
        <v>40836</v>
      </c>
      <c r="L734" s="14">
        <v>5.0000000000000001E-4</v>
      </c>
      <c r="M734" s="12" t="s">
        <v>855</v>
      </c>
    </row>
    <row r="735" spans="7:13">
      <c r="G735" s="16" t="s">
        <v>1057</v>
      </c>
      <c r="H735" s="4" t="s">
        <v>218</v>
      </c>
      <c r="I735" s="13">
        <v>12069</v>
      </c>
      <c r="J735" s="2" t="s">
        <v>840</v>
      </c>
      <c r="K735" s="10">
        <v>40836</v>
      </c>
      <c r="L735" s="14">
        <v>1.7000000000000001E-4</v>
      </c>
      <c r="M735" s="12" t="s">
        <v>837</v>
      </c>
    </row>
    <row r="736" spans="7:13">
      <c r="G736" s="16" t="s">
        <v>1442</v>
      </c>
      <c r="H736" s="4" t="s">
        <v>452</v>
      </c>
      <c r="I736" s="13">
        <v>53</v>
      </c>
      <c r="J736" s="2" t="s">
        <v>838</v>
      </c>
      <c r="K736" s="10">
        <v>40842</v>
      </c>
      <c r="L736" s="14">
        <v>2.8999999999999998E-3</v>
      </c>
      <c r="M736" s="12" t="s">
        <v>828</v>
      </c>
    </row>
    <row r="737" spans="7:13">
      <c r="G737" s="16" t="s">
        <v>1043</v>
      </c>
      <c r="H737" s="4" t="s">
        <v>368</v>
      </c>
      <c r="I737" s="13">
        <v>94</v>
      </c>
      <c r="J737" s="2" t="s">
        <v>838</v>
      </c>
      <c r="K737" s="10">
        <v>40809</v>
      </c>
      <c r="L737" s="14">
        <v>3.4000000000000002E-3</v>
      </c>
      <c r="M737" s="12" t="s">
        <v>876</v>
      </c>
    </row>
    <row r="738" spans="7:13">
      <c r="G738" s="16" t="s">
        <v>1608</v>
      </c>
      <c r="H738" s="4" t="s">
        <v>628</v>
      </c>
      <c r="I738" s="13">
        <v>28</v>
      </c>
      <c r="J738" s="2" t="s">
        <v>836</v>
      </c>
      <c r="K738" s="10">
        <v>40794</v>
      </c>
      <c r="L738" s="14">
        <v>1.5E-3</v>
      </c>
      <c r="M738" s="12" t="s">
        <v>839</v>
      </c>
    </row>
    <row r="739" spans="7:13">
      <c r="G739" s="16" t="s">
        <v>1386</v>
      </c>
      <c r="H739" s="4" t="s">
        <v>116</v>
      </c>
      <c r="I739" s="13">
        <v>733</v>
      </c>
      <c r="J739" s="2" t="s">
        <v>829</v>
      </c>
      <c r="K739" s="10">
        <v>40742</v>
      </c>
      <c r="L739" s="14">
        <v>6.8000000000000005E-3</v>
      </c>
      <c r="M739" s="12" t="s">
        <v>831</v>
      </c>
    </row>
    <row r="740" spans="7:13">
      <c r="G740" s="16" t="s">
        <v>1132</v>
      </c>
      <c r="H740" s="4" t="s">
        <v>296</v>
      </c>
      <c r="I740" s="13">
        <v>2090</v>
      </c>
      <c r="J740" s="2" t="s">
        <v>848</v>
      </c>
      <c r="K740" s="10">
        <v>40742</v>
      </c>
      <c r="L740" s="14">
        <v>4.0000000000000001E-3</v>
      </c>
      <c r="M740" s="12" t="s">
        <v>828</v>
      </c>
    </row>
    <row r="741" spans="7:13">
      <c r="G741" s="16" t="s">
        <v>1532</v>
      </c>
      <c r="H741" s="4" t="s">
        <v>405</v>
      </c>
      <c r="I741" s="13">
        <v>3019</v>
      </c>
      <c r="J741" s="2" t="s">
        <v>832</v>
      </c>
      <c r="K741" s="10">
        <v>40742</v>
      </c>
      <c r="L741" s="14">
        <v>3.0000000000000001E-3</v>
      </c>
      <c r="M741" s="12" t="s">
        <v>828</v>
      </c>
    </row>
    <row r="742" spans="7:13">
      <c r="G742" s="16" t="s">
        <v>1497</v>
      </c>
      <c r="H742" s="4" t="s">
        <v>337</v>
      </c>
      <c r="I742" s="13">
        <v>55</v>
      </c>
      <c r="J742" s="2" t="s">
        <v>838</v>
      </c>
      <c r="K742" s="10">
        <v>40715</v>
      </c>
      <c r="L742" s="14">
        <v>1.5E-3</v>
      </c>
      <c r="M742" s="12" t="s">
        <v>839</v>
      </c>
    </row>
    <row r="743" spans="7:13">
      <c r="G743" s="16" t="s">
        <v>1590</v>
      </c>
      <c r="H743" s="4" t="s">
        <v>712</v>
      </c>
      <c r="I743" s="13">
        <v>116</v>
      </c>
      <c r="J743" s="2" t="s">
        <v>840</v>
      </c>
      <c r="K743" s="10">
        <v>40666</v>
      </c>
      <c r="L743" s="14">
        <v>1.5499999999999999E-3</v>
      </c>
      <c r="M743" s="12" t="s">
        <v>846</v>
      </c>
    </row>
    <row r="744" spans="7:13">
      <c r="G744" s="16" t="s">
        <v>916</v>
      </c>
      <c r="H744" s="4" t="s">
        <v>115</v>
      </c>
      <c r="I744" s="13">
        <v>144</v>
      </c>
      <c r="J744" s="2" t="s">
        <v>848</v>
      </c>
      <c r="K744" s="10">
        <v>40659</v>
      </c>
      <c r="L744" s="14">
        <v>4.5000000000000005E-3</v>
      </c>
      <c r="M744" s="12" t="s">
        <v>831</v>
      </c>
    </row>
    <row r="745" spans="7:13">
      <c r="G745" s="16" t="s">
        <v>1098</v>
      </c>
      <c r="H745" s="4" t="s">
        <v>620</v>
      </c>
      <c r="I745" s="13">
        <v>160</v>
      </c>
      <c r="J745" s="2" t="s">
        <v>848</v>
      </c>
      <c r="K745" s="10">
        <v>40659</v>
      </c>
      <c r="L745" s="14">
        <v>4.5000000000000005E-3</v>
      </c>
      <c r="M745" s="12" t="s">
        <v>831</v>
      </c>
    </row>
    <row r="746" spans="7:13">
      <c r="G746" s="16" t="s">
        <v>1001</v>
      </c>
      <c r="H746" s="4" t="s">
        <v>458</v>
      </c>
      <c r="I746" s="13">
        <v>53</v>
      </c>
      <c r="J746" s="2" t="s">
        <v>845</v>
      </c>
      <c r="K746" s="10">
        <v>40648</v>
      </c>
      <c r="L746" s="14">
        <v>4.0000000000000001E-3</v>
      </c>
      <c r="M746" s="12" t="s">
        <v>837</v>
      </c>
    </row>
    <row r="747" spans="7:13">
      <c r="G747" s="16" t="s">
        <v>1384</v>
      </c>
      <c r="H747" s="4" t="s">
        <v>655</v>
      </c>
      <c r="I747" s="13">
        <v>43</v>
      </c>
      <c r="J747" s="2" t="s">
        <v>845</v>
      </c>
      <c r="K747" s="10">
        <v>40648</v>
      </c>
      <c r="L747" s="14">
        <v>4.0000000000000001E-3</v>
      </c>
      <c r="M747" s="12" t="s">
        <v>837</v>
      </c>
    </row>
    <row r="748" spans="7:13">
      <c r="G748" s="16" t="s">
        <v>1411</v>
      </c>
      <c r="H748" s="4" t="s">
        <v>765</v>
      </c>
      <c r="I748" s="13">
        <v>93</v>
      </c>
      <c r="J748" s="2" t="s">
        <v>850</v>
      </c>
      <c r="K748" s="10">
        <v>40634</v>
      </c>
      <c r="L748" s="14">
        <v>4.8999999999999998E-3</v>
      </c>
      <c r="M748" s="12" t="s">
        <v>855</v>
      </c>
    </row>
    <row r="749" spans="7:13">
      <c r="G749" s="16" t="s">
        <v>1193</v>
      </c>
      <c r="H749" s="4" t="s">
        <v>678</v>
      </c>
      <c r="I749" s="13">
        <v>78</v>
      </c>
      <c r="J749" s="2" t="s">
        <v>829</v>
      </c>
      <c r="K749" s="10">
        <v>40641</v>
      </c>
      <c r="L749" s="14">
        <v>6.8999999999999999E-3</v>
      </c>
      <c r="M749" s="12" t="s">
        <v>828</v>
      </c>
    </row>
    <row r="750" spans="7:13">
      <c r="G750" s="16" t="s">
        <v>1397</v>
      </c>
      <c r="H750" s="4" t="s">
        <v>627</v>
      </c>
      <c r="I750" s="13">
        <v>33</v>
      </c>
      <c r="J750" s="2" t="s">
        <v>829</v>
      </c>
      <c r="K750" s="10">
        <v>40641</v>
      </c>
      <c r="L750" s="14">
        <v>6.8999999999999999E-3</v>
      </c>
      <c r="M750" s="12" t="s">
        <v>828</v>
      </c>
    </row>
    <row r="751" spans="7:13">
      <c r="G751" s="16" t="s">
        <v>1516</v>
      </c>
      <c r="H751" s="4" t="s">
        <v>176</v>
      </c>
      <c r="I751" s="13">
        <v>45</v>
      </c>
      <c r="J751" s="2" t="s">
        <v>848</v>
      </c>
      <c r="K751" s="10">
        <v>40639</v>
      </c>
      <c r="L751" s="14">
        <v>4.0000000000000001E-3</v>
      </c>
      <c r="M751" s="12" t="s">
        <v>828</v>
      </c>
    </row>
    <row r="752" spans="7:13">
      <c r="G752" s="16" t="s">
        <v>920</v>
      </c>
      <c r="H752" s="4" t="s">
        <v>44</v>
      </c>
      <c r="I752" s="13">
        <v>620</v>
      </c>
      <c r="J752" s="2" t="s">
        <v>848</v>
      </c>
      <c r="K752" s="10">
        <v>40639</v>
      </c>
      <c r="L752" s="14">
        <v>4.0000000000000001E-3</v>
      </c>
      <c r="M752" s="12" t="s">
        <v>828</v>
      </c>
    </row>
    <row r="753" spans="7:13">
      <c r="G753" s="16" t="s">
        <v>1018</v>
      </c>
      <c r="H753" s="4" t="s">
        <v>457</v>
      </c>
      <c r="I753" s="13">
        <v>114</v>
      </c>
      <c r="J753" s="2" t="s">
        <v>848</v>
      </c>
      <c r="K753" s="10">
        <v>40639</v>
      </c>
      <c r="L753" s="14">
        <v>4.0000000000000001E-3</v>
      </c>
      <c r="M753" s="12" t="s">
        <v>828</v>
      </c>
    </row>
    <row r="754" spans="7:13">
      <c r="G754" s="16" t="s">
        <v>1017</v>
      </c>
      <c r="H754" s="4" t="s">
        <v>637</v>
      </c>
      <c r="I754" s="13">
        <v>8185</v>
      </c>
      <c r="J754" s="2" t="s">
        <v>848</v>
      </c>
      <c r="K754" s="10">
        <v>40639</v>
      </c>
      <c r="L754" s="14">
        <v>4.0000000000000001E-3</v>
      </c>
      <c r="M754" s="12" t="s">
        <v>828</v>
      </c>
    </row>
    <row r="755" spans="7:13">
      <c r="G755" s="16" t="s">
        <v>1367</v>
      </c>
      <c r="H755" s="4" t="s">
        <v>255</v>
      </c>
      <c r="I755" s="13">
        <v>562</v>
      </c>
      <c r="J755" s="2" t="s">
        <v>848</v>
      </c>
      <c r="K755" s="10">
        <v>40639</v>
      </c>
      <c r="L755" s="14">
        <v>4.0000000000000001E-3</v>
      </c>
      <c r="M755" s="12" t="s">
        <v>828</v>
      </c>
    </row>
    <row r="756" spans="7:13">
      <c r="G756" s="16" t="s">
        <v>1519</v>
      </c>
      <c r="H756" s="4" t="s">
        <v>94</v>
      </c>
      <c r="I756" s="13">
        <v>103</v>
      </c>
      <c r="J756" s="2" t="s">
        <v>848</v>
      </c>
      <c r="K756" s="10">
        <v>40639</v>
      </c>
      <c r="L756" s="14">
        <v>4.0000000000000001E-3</v>
      </c>
      <c r="M756" s="12" t="s">
        <v>828</v>
      </c>
    </row>
    <row r="757" spans="7:13">
      <c r="G757" s="16" t="s">
        <v>1314</v>
      </c>
      <c r="H757" s="4" t="s">
        <v>35</v>
      </c>
      <c r="I757" s="13">
        <v>738</v>
      </c>
      <c r="J757" s="2" t="s">
        <v>848</v>
      </c>
      <c r="K757" s="10">
        <v>40639</v>
      </c>
      <c r="L757" s="14">
        <v>4.0000000000000001E-3</v>
      </c>
      <c r="M757" s="12" t="s">
        <v>828</v>
      </c>
    </row>
    <row r="758" spans="7:13">
      <c r="G758" s="16" t="s">
        <v>1346</v>
      </c>
      <c r="H758" s="4" t="s">
        <v>742</v>
      </c>
      <c r="I758" s="13">
        <v>186</v>
      </c>
      <c r="J758" s="2" t="s">
        <v>848</v>
      </c>
      <c r="K758" s="10">
        <v>40639</v>
      </c>
      <c r="L758" s="14">
        <v>4.0000000000000001E-3</v>
      </c>
      <c r="M758" s="12" t="s">
        <v>828</v>
      </c>
    </row>
    <row r="759" spans="7:13">
      <c r="G759" s="16" t="s">
        <v>915</v>
      </c>
      <c r="H759" s="4" t="s">
        <v>466</v>
      </c>
      <c r="I759" s="13">
        <v>72</v>
      </c>
      <c r="J759" s="2" t="s">
        <v>829</v>
      </c>
      <c r="K759" s="10">
        <v>40617</v>
      </c>
      <c r="L759" s="14">
        <v>6.8000000000000005E-3</v>
      </c>
      <c r="M759" s="12" t="s">
        <v>831</v>
      </c>
    </row>
    <row r="760" spans="7:13">
      <c r="G760" s="16" t="s">
        <v>952</v>
      </c>
      <c r="H760" s="4" t="s">
        <v>79</v>
      </c>
      <c r="I760" s="13">
        <v>114</v>
      </c>
      <c r="J760" s="2" t="s">
        <v>829</v>
      </c>
      <c r="K760" s="10">
        <v>40617</v>
      </c>
      <c r="L760" s="14">
        <v>6.8000000000000005E-3</v>
      </c>
      <c r="M760" s="12" t="s">
        <v>831</v>
      </c>
    </row>
    <row r="761" spans="7:13">
      <c r="G761" s="16" t="s">
        <v>1456</v>
      </c>
      <c r="H761" s="4" t="s">
        <v>763</v>
      </c>
      <c r="I761" s="13">
        <v>1365</v>
      </c>
      <c r="J761" s="2" t="s">
        <v>858</v>
      </c>
      <c r="K761" s="10">
        <v>40612</v>
      </c>
      <c r="L761" s="14">
        <v>1.5E-3</v>
      </c>
      <c r="M761" s="12" t="s">
        <v>828</v>
      </c>
    </row>
    <row r="762" spans="7:13">
      <c r="G762" s="16" t="s">
        <v>1471</v>
      </c>
      <c r="H762" s="4" t="s">
        <v>409</v>
      </c>
      <c r="I762" s="13">
        <v>122</v>
      </c>
      <c r="J762" s="2" t="s">
        <v>858</v>
      </c>
      <c r="K762" s="10">
        <v>40612</v>
      </c>
      <c r="L762" s="14">
        <v>1.5E-3</v>
      </c>
      <c r="M762" s="12" t="s">
        <v>828</v>
      </c>
    </row>
    <row r="763" spans="7:13">
      <c r="G763" s="16" t="s">
        <v>1543</v>
      </c>
      <c r="H763" s="4" t="s">
        <v>169</v>
      </c>
      <c r="I763" s="13">
        <v>261</v>
      </c>
      <c r="J763" s="2" t="s">
        <v>858</v>
      </c>
      <c r="K763" s="10">
        <v>40609</v>
      </c>
      <c r="L763" s="14">
        <v>1.5E-3</v>
      </c>
      <c r="M763" s="12" t="s">
        <v>828</v>
      </c>
    </row>
    <row r="764" spans="7:13">
      <c r="G764" s="16" t="s">
        <v>1499</v>
      </c>
      <c r="H764" s="4" t="s">
        <v>374</v>
      </c>
      <c r="I764" s="13">
        <v>330</v>
      </c>
      <c r="J764" s="2" t="s">
        <v>850</v>
      </c>
      <c r="K764" s="10">
        <v>40598</v>
      </c>
      <c r="L764" s="14">
        <v>3.7000000000000002E-3</v>
      </c>
      <c r="M764" s="12" t="s">
        <v>855</v>
      </c>
    </row>
    <row r="765" spans="7:13">
      <c r="G765" s="16" t="s">
        <v>1662</v>
      </c>
      <c r="H765" s="4" t="s">
        <v>679</v>
      </c>
      <c r="I765" s="13">
        <v>176</v>
      </c>
      <c r="J765" s="2" t="s">
        <v>829</v>
      </c>
      <c r="K765" s="10">
        <v>40554</v>
      </c>
      <c r="L765" s="14">
        <v>6.8999999999999999E-3</v>
      </c>
      <c r="M765" s="12" t="s">
        <v>828</v>
      </c>
    </row>
    <row r="766" spans="7:13">
      <c r="G766" s="16" t="s">
        <v>1142</v>
      </c>
      <c r="H766" s="4" t="s">
        <v>229</v>
      </c>
      <c r="I766" s="13">
        <v>670</v>
      </c>
      <c r="J766" s="2" t="s">
        <v>835</v>
      </c>
      <c r="K766" s="10">
        <v>40648</v>
      </c>
      <c r="L766" s="14">
        <v>7.000000000000001E-4</v>
      </c>
      <c r="M766" s="12" t="s">
        <v>837</v>
      </c>
    </row>
    <row r="767" spans="7:13">
      <c r="G767" s="16" t="s">
        <v>960</v>
      </c>
      <c r="H767" s="4" t="s">
        <v>20</v>
      </c>
      <c r="I767" s="13">
        <v>25549</v>
      </c>
      <c r="J767" s="2" t="s">
        <v>832</v>
      </c>
      <c r="K767" s="10">
        <v>40469</v>
      </c>
      <c r="L767" s="14">
        <v>7.000000000000001E-4</v>
      </c>
      <c r="M767" s="12" t="s">
        <v>828</v>
      </c>
    </row>
    <row r="768" spans="7:13">
      <c r="G768" s="16" t="s">
        <v>1213</v>
      </c>
      <c r="H768" s="4" t="s">
        <v>42</v>
      </c>
      <c r="I768" s="13">
        <v>1717</v>
      </c>
      <c r="J768" s="2" t="s">
        <v>829</v>
      </c>
      <c r="K768" s="10">
        <v>40452</v>
      </c>
      <c r="L768" s="14">
        <v>6.8000000000000005E-3</v>
      </c>
      <c r="M768" s="12" t="s">
        <v>831</v>
      </c>
    </row>
    <row r="769" spans="7:13">
      <c r="G769" s="16" t="s">
        <v>1264</v>
      </c>
      <c r="H769" s="4" t="s">
        <v>148</v>
      </c>
      <c r="I769" s="13">
        <v>85</v>
      </c>
      <c r="J769" s="2" t="s">
        <v>858</v>
      </c>
      <c r="K769" s="10">
        <v>40438</v>
      </c>
      <c r="L769" s="14">
        <v>1.5E-3</v>
      </c>
      <c r="M769" s="12" t="s">
        <v>839</v>
      </c>
    </row>
    <row r="770" spans="7:13">
      <c r="G770" s="16" t="s">
        <v>1285</v>
      </c>
      <c r="H770" s="4" t="s">
        <v>607</v>
      </c>
      <c r="I770" s="13">
        <v>1655</v>
      </c>
      <c r="J770" s="2" t="s">
        <v>835</v>
      </c>
      <c r="K770" s="10">
        <v>40388</v>
      </c>
      <c r="L770" s="14">
        <v>5.0000000000000001E-4</v>
      </c>
      <c r="M770" s="12" t="s">
        <v>855</v>
      </c>
    </row>
    <row r="771" spans="7:13">
      <c r="G771" s="16" t="s">
        <v>903</v>
      </c>
      <c r="H771" s="4" t="s">
        <v>580</v>
      </c>
      <c r="I771" s="13">
        <v>224</v>
      </c>
      <c r="J771" s="2" t="s">
        <v>829</v>
      </c>
      <c r="K771" s="10">
        <v>40392</v>
      </c>
      <c r="L771" s="14">
        <v>6.8999999999999999E-3</v>
      </c>
      <c r="M771" s="12" t="s">
        <v>828</v>
      </c>
    </row>
    <row r="772" spans="7:13">
      <c r="G772" s="16" t="s">
        <v>1613</v>
      </c>
      <c r="H772" s="4" t="s">
        <v>286</v>
      </c>
      <c r="I772" s="13">
        <v>432</v>
      </c>
      <c r="J772" s="2" t="s">
        <v>861</v>
      </c>
      <c r="K772" s="10">
        <v>40277</v>
      </c>
      <c r="L772" s="14">
        <v>2.1999999999999998E-4</v>
      </c>
      <c r="M772" s="12" t="s">
        <v>828</v>
      </c>
    </row>
    <row r="773" spans="7:13">
      <c r="G773" s="16" t="s">
        <v>1522</v>
      </c>
      <c r="H773" s="4" t="s">
        <v>754</v>
      </c>
      <c r="I773" s="13">
        <v>387</v>
      </c>
      <c r="J773" s="2" t="s">
        <v>836</v>
      </c>
      <c r="K773" s="10">
        <v>40266</v>
      </c>
      <c r="L773" s="14">
        <v>2.1999999999999998E-4</v>
      </c>
      <c r="M773" s="12" t="s">
        <v>828</v>
      </c>
    </row>
    <row r="774" spans="7:13">
      <c r="G774" s="16" t="s">
        <v>1646</v>
      </c>
      <c r="H774" s="4" t="s">
        <v>800</v>
      </c>
      <c r="I774" s="13">
        <v>2736</v>
      </c>
      <c r="J774" s="2" t="s">
        <v>861</v>
      </c>
      <c r="K774" s="10">
        <v>40231</v>
      </c>
      <c r="L774" s="14">
        <v>6.4000000000000003E-3</v>
      </c>
      <c r="M774" s="12" t="s">
        <v>831</v>
      </c>
    </row>
    <row r="775" spans="7:13">
      <c r="G775" s="16" t="s">
        <v>943</v>
      </c>
      <c r="H775" s="4" t="s">
        <v>672</v>
      </c>
      <c r="I775" s="13">
        <v>421</v>
      </c>
      <c r="J775" s="2" t="s">
        <v>835</v>
      </c>
      <c r="K775" s="10">
        <v>40192</v>
      </c>
      <c r="L775" s="14">
        <v>5.0000000000000001E-4</v>
      </c>
      <c r="M775" s="12" t="s">
        <v>855</v>
      </c>
    </row>
    <row r="776" spans="7:13">
      <c r="G776" s="16" t="s">
        <v>1092</v>
      </c>
      <c r="H776" s="4" t="s">
        <v>686</v>
      </c>
      <c r="I776" s="13">
        <v>222</v>
      </c>
      <c r="J776" s="2" t="s">
        <v>840</v>
      </c>
      <c r="K776" s="10">
        <v>40185</v>
      </c>
      <c r="L776" s="14">
        <v>3.3000000000000004E-3</v>
      </c>
      <c r="M776" s="12" t="s">
        <v>842</v>
      </c>
    </row>
    <row r="777" spans="7:13">
      <c r="G777" s="16" t="s">
        <v>1291</v>
      </c>
      <c r="H777" s="4" t="s">
        <v>453</v>
      </c>
      <c r="I777" s="13">
        <v>239</v>
      </c>
      <c r="J777" s="2" t="s">
        <v>848</v>
      </c>
      <c r="K777" s="10">
        <v>40116</v>
      </c>
      <c r="L777" s="14">
        <v>4.5000000000000005E-3</v>
      </c>
      <c r="M777" s="12" t="s">
        <v>831</v>
      </c>
    </row>
    <row r="778" spans="7:13">
      <c r="G778" s="16" t="s">
        <v>1307</v>
      </c>
      <c r="H778" s="4" t="s">
        <v>553</v>
      </c>
      <c r="I778" s="13">
        <v>54</v>
      </c>
      <c r="J778" s="2" t="s">
        <v>832</v>
      </c>
      <c r="K778" s="10">
        <v>40107</v>
      </c>
      <c r="L778" s="14">
        <v>4.8999999999999998E-3</v>
      </c>
      <c r="M778" s="12" t="s">
        <v>828</v>
      </c>
    </row>
    <row r="779" spans="7:13">
      <c r="G779" s="16" t="s">
        <v>1355</v>
      </c>
      <c r="H779" s="4" t="s">
        <v>567</v>
      </c>
      <c r="I779" s="13">
        <v>263</v>
      </c>
      <c r="J779" s="2" t="s">
        <v>848</v>
      </c>
      <c r="K779" s="10">
        <v>40116</v>
      </c>
      <c r="L779" s="14">
        <v>4.5000000000000005E-3</v>
      </c>
      <c r="M779" s="12" t="s">
        <v>831</v>
      </c>
    </row>
    <row r="780" spans="7:13">
      <c r="G780" s="16" t="s">
        <v>1674</v>
      </c>
      <c r="H780" s="4" t="s">
        <v>290</v>
      </c>
      <c r="I780" s="13">
        <v>143</v>
      </c>
      <c r="J780" s="2" t="s">
        <v>848</v>
      </c>
      <c r="K780" s="10">
        <v>40098</v>
      </c>
      <c r="L780" s="14">
        <v>4.5000000000000005E-3</v>
      </c>
      <c r="M780" s="12" t="s">
        <v>831</v>
      </c>
    </row>
    <row r="781" spans="7:13">
      <c r="G781" s="16" t="s">
        <v>891</v>
      </c>
      <c r="H781" s="4" t="s">
        <v>363</v>
      </c>
      <c r="I781" s="13">
        <v>610</v>
      </c>
      <c r="J781" s="2" t="s">
        <v>835</v>
      </c>
      <c r="K781" s="10">
        <v>40052</v>
      </c>
      <c r="L781" s="14">
        <v>1.25E-3</v>
      </c>
      <c r="M781" s="12" t="s">
        <v>828</v>
      </c>
    </row>
    <row r="782" spans="7:13">
      <c r="G782" s="16" t="s">
        <v>1335</v>
      </c>
      <c r="H782" s="4" t="s">
        <v>336</v>
      </c>
      <c r="I782" s="13">
        <v>5895</v>
      </c>
      <c r="J782" s="2" t="s">
        <v>836</v>
      </c>
      <c r="K782" s="10">
        <v>40072</v>
      </c>
      <c r="L782" s="14">
        <v>6.4000000000000003E-3</v>
      </c>
      <c r="M782" s="12" t="s">
        <v>831</v>
      </c>
    </row>
    <row r="783" spans="7:13">
      <c r="G783" s="16" t="s">
        <v>1668</v>
      </c>
      <c r="H783" s="4" t="s">
        <v>139</v>
      </c>
      <c r="I783" s="13">
        <v>131</v>
      </c>
      <c r="J783" s="2" t="s">
        <v>835</v>
      </c>
      <c r="K783" s="10">
        <v>40025</v>
      </c>
      <c r="L783" s="2">
        <v>5.0000000000000001E-4</v>
      </c>
      <c r="M783" s="12" t="s">
        <v>855</v>
      </c>
    </row>
    <row r="784" spans="7:13">
      <c r="G784" s="16" t="s">
        <v>1549</v>
      </c>
      <c r="H784" s="4" t="s">
        <v>454</v>
      </c>
      <c r="I784" s="13">
        <v>153</v>
      </c>
      <c r="J784" s="2" t="s">
        <v>835</v>
      </c>
      <c r="K784" s="10">
        <v>40025</v>
      </c>
      <c r="L784" s="2">
        <v>1.5E-3</v>
      </c>
      <c r="M784" s="12" t="s">
        <v>839</v>
      </c>
    </row>
    <row r="785" spans="7:13">
      <c r="G785" s="16" t="s">
        <v>1643</v>
      </c>
      <c r="H785" s="4" t="s">
        <v>391</v>
      </c>
      <c r="I785" s="13">
        <v>3069</v>
      </c>
      <c r="J785" s="2" t="s">
        <v>835</v>
      </c>
      <c r="K785" s="10">
        <v>40023</v>
      </c>
      <c r="L785" s="2">
        <v>1.5E-3</v>
      </c>
      <c r="M785" s="12" t="s">
        <v>831</v>
      </c>
    </row>
    <row r="786" spans="7:13">
      <c r="G786" s="16" t="s">
        <v>918</v>
      </c>
      <c r="H786" s="4" t="s">
        <v>543</v>
      </c>
      <c r="I786" s="13">
        <v>233</v>
      </c>
      <c r="J786" s="2" t="s">
        <v>835</v>
      </c>
      <c r="K786" s="10">
        <v>40023</v>
      </c>
      <c r="L786" s="2">
        <v>1.15E-3</v>
      </c>
      <c r="M786" s="12" t="s">
        <v>837</v>
      </c>
    </row>
    <row r="787" spans="7:13">
      <c r="G787" s="16" t="s">
        <v>1204</v>
      </c>
      <c r="H787" s="4" t="s">
        <v>811</v>
      </c>
      <c r="I787" s="13">
        <v>87</v>
      </c>
      <c r="J787" s="2" t="s">
        <v>840</v>
      </c>
      <c r="K787" s="10">
        <v>39836</v>
      </c>
      <c r="L787" s="2">
        <v>3.2500000000000003E-3</v>
      </c>
      <c r="M787" s="12" t="s">
        <v>876</v>
      </c>
    </row>
    <row r="788" spans="7:13">
      <c r="G788" s="16" t="s">
        <v>1090</v>
      </c>
      <c r="H788" s="4" t="s">
        <v>668</v>
      </c>
      <c r="I788" s="13">
        <v>495</v>
      </c>
      <c r="J788" s="2" t="s">
        <v>858</v>
      </c>
      <c r="K788" s="10">
        <v>39847</v>
      </c>
      <c r="L788" s="2">
        <v>1.5E-3</v>
      </c>
      <c r="M788" s="12" t="s">
        <v>839</v>
      </c>
    </row>
    <row r="789" spans="7:13">
      <c r="G789" s="16" t="s">
        <v>1619</v>
      </c>
      <c r="H789" s="4" t="s">
        <v>102</v>
      </c>
      <c r="I789" s="13">
        <v>62</v>
      </c>
      <c r="J789" s="2" t="s">
        <v>858</v>
      </c>
      <c r="K789" s="10">
        <v>39743</v>
      </c>
      <c r="L789" s="2">
        <v>4.0000000000000001E-3</v>
      </c>
      <c r="M789" s="12" t="s">
        <v>837</v>
      </c>
    </row>
    <row r="790" spans="7:13">
      <c r="G790" s="16" t="s">
        <v>1053</v>
      </c>
      <c r="H790" s="4" t="s">
        <v>345</v>
      </c>
      <c r="I790" s="13">
        <v>4556</v>
      </c>
      <c r="J790" s="2" t="s">
        <v>840</v>
      </c>
      <c r="K790" s="10">
        <v>39716</v>
      </c>
      <c r="L790" s="2">
        <v>8.9999999999999998E-4</v>
      </c>
      <c r="M790" s="12" t="s">
        <v>839</v>
      </c>
    </row>
    <row r="791" spans="7:13">
      <c r="G791" s="16" t="s">
        <v>1479</v>
      </c>
      <c r="H791" s="4" t="s">
        <v>773</v>
      </c>
      <c r="I791" s="13">
        <v>63</v>
      </c>
      <c r="J791" s="2" t="s">
        <v>832</v>
      </c>
      <c r="K791" s="10">
        <v>39687</v>
      </c>
      <c r="L791" s="2">
        <v>4.8999999999999998E-3</v>
      </c>
      <c r="M791" s="12" t="s">
        <v>828</v>
      </c>
    </row>
    <row r="792" spans="7:13">
      <c r="G792" s="16" t="s">
        <v>1070</v>
      </c>
      <c r="H792" s="4" t="s">
        <v>57</v>
      </c>
      <c r="I792" s="13">
        <v>89</v>
      </c>
      <c r="J792" s="2" t="s">
        <v>845</v>
      </c>
      <c r="K792" s="10">
        <v>39658</v>
      </c>
      <c r="L792" s="2">
        <v>4.0000000000000001E-3</v>
      </c>
      <c r="M792" s="12" t="s">
        <v>855</v>
      </c>
    </row>
    <row r="793" spans="7:13">
      <c r="G793" s="16" t="s">
        <v>1402</v>
      </c>
      <c r="H793" s="4" t="s">
        <v>43</v>
      </c>
      <c r="I793" s="13">
        <v>70</v>
      </c>
      <c r="J793" s="2" t="s">
        <v>845</v>
      </c>
      <c r="K793" s="10">
        <v>39658</v>
      </c>
      <c r="L793" s="2">
        <v>4.0000000000000001E-3</v>
      </c>
      <c r="M793" s="12" t="s">
        <v>855</v>
      </c>
    </row>
    <row r="794" spans="7:13">
      <c r="G794" s="16" t="s">
        <v>1616</v>
      </c>
      <c r="H794" s="4" t="s">
        <v>30</v>
      </c>
      <c r="I794" s="13">
        <v>457</v>
      </c>
      <c r="J794" s="2" t="s">
        <v>848</v>
      </c>
      <c r="K794" s="10">
        <v>39597</v>
      </c>
      <c r="L794" s="2">
        <v>4.5000000000000005E-3</v>
      </c>
      <c r="M794" s="12" t="s">
        <v>831</v>
      </c>
    </row>
    <row r="795" spans="7:13">
      <c r="G795" s="16" t="s">
        <v>1280</v>
      </c>
      <c r="H795" s="4" t="s">
        <v>90</v>
      </c>
      <c r="I795" s="13">
        <v>109</v>
      </c>
      <c r="J795" s="2" t="s">
        <v>848</v>
      </c>
      <c r="K795" s="10">
        <v>39597</v>
      </c>
      <c r="L795" s="2">
        <v>4.5000000000000005E-3</v>
      </c>
      <c r="M795" s="12" t="s">
        <v>831</v>
      </c>
    </row>
    <row r="796" spans="7:13">
      <c r="G796" s="16" t="s">
        <v>1640</v>
      </c>
      <c r="H796" s="4" t="s">
        <v>318</v>
      </c>
      <c r="I796" s="13">
        <v>11235</v>
      </c>
      <c r="J796" s="2" t="s">
        <v>858</v>
      </c>
      <c r="K796" s="10">
        <v>39589</v>
      </c>
      <c r="L796" s="2">
        <v>2.5000000000000001E-3</v>
      </c>
      <c r="M796" s="12" t="s">
        <v>831</v>
      </c>
    </row>
    <row r="797" spans="7:13">
      <c r="G797" s="16" t="s">
        <v>1311</v>
      </c>
      <c r="H797" s="4" t="s">
        <v>726</v>
      </c>
      <c r="I797" s="13">
        <v>21048</v>
      </c>
      <c r="J797" s="2" t="s">
        <v>840</v>
      </c>
      <c r="K797" s="10">
        <v>39541</v>
      </c>
      <c r="L797" s="2">
        <v>5.0000000000000001E-4</v>
      </c>
      <c r="M797" s="12" t="s">
        <v>828</v>
      </c>
    </row>
    <row r="798" spans="7:13">
      <c r="G798" s="16" t="s">
        <v>1357</v>
      </c>
      <c r="H798" s="4" t="s">
        <v>683</v>
      </c>
      <c r="I798" s="13">
        <v>179</v>
      </c>
      <c r="J798" s="2" t="s">
        <v>832</v>
      </c>
      <c r="K798" s="10">
        <v>39498</v>
      </c>
      <c r="L798" s="2">
        <v>3.7000000000000002E-3</v>
      </c>
      <c r="M798" s="12" t="s">
        <v>831</v>
      </c>
    </row>
    <row r="799" spans="7:13">
      <c r="G799" s="16" t="s">
        <v>1448</v>
      </c>
      <c r="H799" s="4" t="s">
        <v>342</v>
      </c>
      <c r="I799" s="13">
        <v>96</v>
      </c>
      <c r="J799" s="2" t="s">
        <v>840</v>
      </c>
      <c r="K799" s="10">
        <v>39470</v>
      </c>
      <c r="L799" s="2">
        <v>2.3E-3</v>
      </c>
      <c r="M799" s="12" t="s">
        <v>855</v>
      </c>
    </row>
    <row r="800" spans="7:13">
      <c r="G800" s="16" t="s">
        <v>1248</v>
      </c>
      <c r="H800" s="4" t="s">
        <v>17</v>
      </c>
      <c r="I800" s="13">
        <v>341</v>
      </c>
      <c r="J800" s="2" t="s">
        <v>832</v>
      </c>
      <c r="K800" s="10">
        <v>39365</v>
      </c>
      <c r="L800" s="2">
        <v>1.1999999999999999E-3</v>
      </c>
      <c r="M800" s="12" t="s">
        <v>831</v>
      </c>
    </row>
    <row r="801" spans="7:13">
      <c r="G801" s="16" t="s">
        <v>1468</v>
      </c>
      <c r="H801" s="4" t="s">
        <v>403</v>
      </c>
      <c r="I801" s="13">
        <v>40</v>
      </c>
      <c r="J801" s="2" t="s">
        <v>848</v>
      </c>
      <c r="K801" s="10">
        <v>39332</v>
      </c>
      <c r="L801" s="2">
        <v>4.5999999999999999E-3</v>
      </c>
      <c r="M801" s="12" t="s">
        <v>828</v>
      </c>
    </row>
    <row r="802" spans="7:13">
      <c r="G802" s="16" t="s">
        <v>1419</v>
      </c>
      <c r="H802" s="4" t="s">
        <v>610</v>
      </c>
      <c r="I802" s="13">
        <v>2430</v>
      </c>
      <c r="J802" s="2" t="s">
        <v>848</v>
      </c>
      <c r="K802" s="10">
        <v>38895</v>
      </c>
      <c r="L802" s="2">
        <v>4.5999999999999999E-3</v>
      </c>
      <c r="M802" s="12" t="s">
        <v>828</v>
      </c>
    </row>
    <row r="803" spans="7:13">
      <c r="G803" s="16" t="s">
        <v>1349</v>
      </c>
      <c r="H803" s="4" t="s">
        <v>165</v>
      </c>
      <c r="I803" s="13">
        <v>99</v>
      </c>
      <c r="J803" s="2" t="s">
        <v>848</v>
      </c>
      <c r="K803" s="10">
        <v>38895</v>
      </c>
      <c r="L803" s="2">
        <v>4.5999999999999999E-3</v>
      </c>
      <c r="M803" s="12" t="s">
        <v>828</v>
      </c>
    </row>
    <row r="804" spans="7:13">
      <c r="G804" s="16" t="s">
        <v>884</v>
      </c>
      <c r="H804" s="4" t="s">
        <v>72</v>
      </c>
      <c r="I804" s="13">
        <v>6457</v>
      </c>
      <c r="J804" s="2" t="s">
        <v>848</v>
      </c>
      <c r="K804" s="10">
        <v>38895</v>
      </c>
      <c r="L804" s="2">
        <v>4.5000000000000005E-3</v>
      </c>
      <c r="M804" s="12" t="s">
        <v>831</v>
      </c>
    </row>
    <row r="805" spans="7:13">
      <c r="G805" s="16" t="s">
        <v>1352</v>
      </c>
      <c r="H805" s="4" t="s">
        <v>251</v>
      </c>
      <c r="I805" s="13">
        <v>3558</v>
      </c>
      <c r="J805" s="2" t="s">
        <v>848</v>
      </c>
      <c r="K805" s="10">
        <v>38895</v>
      </c>
      <c r="L805" s="2">
        <v>3.0000000000000001E-3</v>
      </c>
      <c r="M805" s="12" t="s">
        <v>831</v>
      </c>
    </row>
    <row r="806" spans="7:13">
      <c r="G806" s="16" t="s">
        <v>1227</v>
      </c>
      <c r="H806" s="4" t="s">
        <v>384</v>
      </c>
      <c r="I806" s="13">
        <v>6496</v>
      </c>
      <c r="J806" s="2" t="s">
        <v>848</v>
      </c>
      <c r="K806" s="10">
        <v>38895</v>
      </c>
      <c r="L806" s="2">
        <v>4.5000000000000005E-3</v>
      </c>
      <c r="M806" s="12" t="s">
        <v>831</v>
      </c>
    </row>
    <row r="807" spans="7:13">
      <c r="G807" s="16" t="s">
        <v>1520</v>
      </c>
      <c r="H807" s="4" t="s">
        <v>16</v>
      </c>
      <c r="I807" s="13">
        <v>2783</v>
      </c>
      <c r="J807" s="2" t="s">
        <v>840</v>
      </c>
      <c r="K807" s="10">
        <v>37543</v>
      </c>
      <c r="L807" s="2">
        <v>1.3000000000000002E-3</v>
      </c>
      <c r="M807" s="12" t="s">
        <v>855</v>
      </c>
    </row>
    <row r="808" spans="7:13">
      <c r="G808" s="16" t="s">
        <v>1477</v>
      </c>
      <c r="H808" s="4" t="s">
        <v>583</v>
      </c>
      <c r="I808" s="13">
        <v>59950</v>
      </c>
      <c r="J808" s="2" t="s">
        <v>840</v>
      </c>
      <c r="K808" s="10">
        <v>37543</v>
      </c>
      <c r="L808" s="2">
        <v>1.5E-3</v>
      </c>
      <c r="M808" s="12" t="s">
        <v>831</v>
      </c>
    </row>
    <row r="809" spans="7:13">
      <c r="I809" s="13"/>
      <c r="K809" s="10"/>
    </row>
    <row r="810" spans="7:13">
      <c r="I810" s="13"/>
      <c r="K810" s="10"/>
    </row>
    <row r="811" spans="7:13">
      <c r="K811" s="10"/>
    </row>
    <row r="812" spans="7:13">
      <c r="K812" s="10"/>
    </row>
    <row r="813" spans="7:13">
      <c r="K813" s="10"/>
    </row>
    <row r="814" spans="7:13">
      <c r="K814" s="10"/>
    </row>
    <row r="815" spans="7:13">
      <c r="K815" s="10"/>
    </row>
    <row r="816" spans="7:13">
      <c r="K816" s="10"/>
    </row>
    <row r="817" spans="11:11">
      <c r="K817" s="10"/>
    </row>
    <row r="818" spans="11:11">
      <c r="K818" s="10"/>
    </row>
    <row r="819" spans="11:11">
      <c r="K819" s="10"/>
    </row>
    <row r="820" spans="11:11">
      <c r="K820" s="10"/>
    </row>
    <row r="821" spans="11:11">
      <c r="K821" s="10"/>
    </row>
    <row r="822" spans="11:11">
      <c r="K822" s="10"/>
    </row>
    <row r="823" spans="11:11">
      <c r="K823" s="10"/>
    </row>
    <row r="824" spans="11:11">
      <c r="K824" s="10"/>
    </row>
    <row r="825" spans="11:11">
      <c r="K825" s="10"/>
    </row>
    <row r="826" spans="11:11">
      <c r="K826" s="10"/>
    </row>
    <row r="827" spans="11:11">
      <c r="K827" s="10"/>
    </row>
    <row r="828" spans="11:11">
      <c r="K828" s="10"/>
    </row>
    <row r="829" spans="11:11">
      <c r="K829" s="10"/>
    </row>
    <row r="830" spans="11:11">
      <c r="K830" s="10"/>
    </row>
    <row r="831" spans="11:11">
      <c r="K831" s="10"/>
    </row>
    <row r="832" spans="11:11">
      <c r="K832" s="10"/>
    </row>
    <row r="833" spans="11:11">
      <c r="K833" s="10"/>
    </row>
    <row r="834" spans="11:11">
      <c r="K834" s="10"/>
    </row>
    <row r="835" spans="11:11">
      <c r="K835" s="10"/>
    </row>
    <row r="836" spans="11:11">
      <c r="K836" s="10"/>
    </row>
    <row r="837" spans="11:11">
      <c r="K837" s="10"/>
    </row>
    <row r="838" spans="11:11">
      <c r="K838" s="10"/>
    </row>
    <row r="839" spans="11:11">
      <c r="K839" s="10"/>
    </row>
    <row r="840" spans="11:11">
      <c r="K840" s="10"/>
    </row>
    <row r="841" spans="11:11">
      <c r="K841" s="1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LoadTickerNameMatch">
                <anchor moveWithCells="1" sizeWithCells="1">
                  <from>
                    <xdr:col>1</xdr:col>
                    <xdr:colOff>142875</xdr:colOff>
                    <xdr:row>5</xdr:row>
                    <xdr:rowOff>28575</xdr:rowOff>
                  </from>
                  <to>
                    <xdr:col>1</xdr:col>
                    <xdr:colOff>990600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Save</vt:lpstr>
      <vt:lpstr>List</vt:lpstr>
      <vt:lpstr>TradeAnalysis</vt:lpstr>
      <vt:lpstr>PDF</vt:lpstr>
      <vt:lpstr>Tickers</vt:lpstr>
      <vt:lpstr>BaseInfo</vt:lpstr>
      <vt:lpstr>BondTrdePrice</vt:lpstr>
      <vt:lpstr>Sheet3</vt:lpstr>
      <vt:lpstr>BaseInfoConfig</vt:lpstr>
      <vt:lpstr>NameMatchConfig</vt:lpstr>
      <vt:lpstr>RankConfig</vt:lpstr>
      <vt:lpstr>TradeAnalysisConfig</vt:lpstr>
      <vt:lpstr>TradeConfig</vt:lpstr>
      <vt:lpstr>TradeHistoryConfig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Junbeom</dc:creator>
  <cp:lastModifiedBy>Junbeom Lee</cp:lastModifiedBy>
  <dcterms:created xsi:type="dcterms:W3CDTF">2023-12-13T01:51:55Z</dcterms:created>
  <dcterms:modified xsi:type="dcterms:W3CDTF">2023-12-28T15:23:28Z</dcterms:modified>
</cp:coreProperties>
</file>